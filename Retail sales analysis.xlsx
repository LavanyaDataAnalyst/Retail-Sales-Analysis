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6.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24226"/>
  <mc:AlternateContent xmlns:mc="http://schemas.openxmlformats.org/markup-compatibility/2006">
    <mc:Choice Requires="x15">
      <x15ac:absPath xmlns:x15ac="http://schemas.microsoft.com/office/spreadsheetml/2010/11/ac" url="C:\Users\LAVAMADHAN\OneDrive\Desktop\DATA ANALYTICS\Task\Coding challenge\Excel\"/>
    </mc:Choice>
  </mc:AlternateContent>
  <xr:revisionPtr revIDLastSave="0" documentId="13_ncr:1_{C7AF61E7-188A-490D-BAC2-D8304FF4A61C}" xr6:coauthVersionLast="47" xr6:coauthVersionMax="47" xr10:uidLastSave="{00000000-0000-0000-0000-000000000000}"/>
  <bookViews>
    <workbookView xWindow="28680" yWindow="-285" windowWidth="29040" windowHeight="15720" firstSheet="2" activeTab="6" xr2:uid="{00000000-000D-0000-FFFF-FFFF00000000}"/>
  </bookViews>
  <sheets>
    <sheet name="Retail sales" sheetId="1" r:id="rId1"/>
    <sheet name="Payment method Review" sheetId="5" r:id="rId2"/>
    <sheet name="Total Sales - Category wise" sheetId="3" r:id="rId3"/>
    <sheet name="Overall Discount Comparison" sheetId="4" r:id="rId4"/>
    <sheet name="Region - wise Total sales" sheetId="13" r:id="rId5"/>
    <sheet name="Annual Sales Comparison" sheetId="14" r:id="rId6"/>
    <sheet name="Dash Board" sheetId="2" r:id="rId7"/>
  </sheets>
  <definedNames>
    <definedName name="_xlcn.WorksheetConnection_retail_sales_dirty.xlsxTable1" hidden="1">Table1[]</definedName>
    <definedName name="_xlnm.Print_Area" localSheetId="6">'Dash Board'!$A$1:$V$36</definedName>
    <definedName name="Slicer_Product_Category">#N/A</definedName>
    <definedName name="Slicer_Product_Category1">#N/A</definedName>
    <definedName name="Slicer_Region">#N/A</definedName>
    <definedName name="Slicer_Region1">#N/A</definedName>
    <definedName name="Slicer_Region2">#N/A</definedName>
    <definedName name="Timeline_Order_Date">#N/A</definedName>
  </definedNames>
  <calcPr calcId="191029"/>
  <pivotCaches>
    <pivotCache cacheId="0" r:id="rId8"/>
    <pivotCache cacheId="1" r:id="rId9"/>
    <pivotCache cacheId="2" r:id="rId10"/>
    <pivotCache cacheId="3" r:id="rId11"/>
    <pivotCache cacheId="4" r:id="rId12"/>
  </pivotCaches>
  <extLst>
    <ext xmlns:x14="http://schemas.microsoft.com/office/spreadsheetml/2009/9/main" uri="{876F7934-8845-4945-9796-88D515C7AA90}">
      <x14:pivotCaches>
        <pivotCache cacheId="5" r:id="rId13"/>
        <pivotCache cacheId="6" r:id="rId14"/>
        <pivotCache cacheId="7" r:id="rId15"/>
        <pivotCache cacheId="8" r:id="rId16"/>
      </x14:pivotCaches>
    </ex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22"/>
      </x15:timelineCachePivotCaches>
    </ext>
    <ext xmlns:x15="http://schemas.microsoft.com/office/spreadsheetml/2010/11/main" uri="{D0CA8CA8-9F24-4464-BF8E-62219DCF47F9}">
      <x15:timelineCacheRefs>
        <x15:timelineCacheRef r:id="rId23"/>
      </x15:timelineCacheRefs>
    </ext>
    <ext xmlns:x15="http://schemas.microsoft.com/office/spreadsheetml/2010/11/main" uri="{FCE2AD5D-F65C-4FA6-A056-5C36A1767C68}">
      <x15:dataModel>
        <x15:modelTables>
          <x15:modelTable id="Table1" name="Table1" connection="WorksheetConnection_retail_sales_dirty.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1" i="1" l="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FEE133-9831-433F-B2BB-CD6F976454B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C0CF48E7-9608-41B2-96A1-40FAD7835AC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216DF36-A2F9-4C8C-B4CA-FA14AF9AE05F}" name="WorksheetConnection_retail_sales_dirty.xlsx!Table1" type="102" refreshedVersion="8" minRefreshableVersion="5">
    <extLst>
      <ext xmlns:x15="http://schemas.microsoft.com/office/spreadsheetml/2010/11/main" uri="{DE250136-89BD-433C-8126-D09CA5730AF9}">
        <x15:connection id="Table1" autoDelete="1">
          <x15:rangePr sourceName="_xlcn.WorksheetConnection_retail_sales_dirty.xlsxTable1"/>
        </x15:connection>
      </ext>
    </extLst>
  </connection>
</connections>
</file>

<file path=xl/sharedStrings.xml><?xml version="1.0" encoding="utf-8"?>
<sst xmlns="http://schemas.openxmlformats.org/spreadsheetml/2006/main" count="1926" uniqueCount="676">
  <si>
    <t>Order ID</t>
  </si>
  <si>
    <t>Customer ID</t>
  </si>
  <si>
    <t>Product Category</t>
  </si>
  <si>
    <t>Product Name</t>
  </si>
  <si>
    <t>Quantity</t>
  </si>
  <si>
    <t>Unit Price</t>
  </si>
  <si>
    <t>Discount</t>
  </si>
  <si>
    <t>Total Sales</t>
  </si>
  <si>
    <t>Order Date</t>
  </si>
  <si>
    <t>Region</t>
  </si>
  <si>
    <t>Payment Method</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</si>
  <si>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</si>
  <si>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</si>
  <si>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</si>
  <si>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</si>
  <si>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</si>
  <si>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</si>
  <si>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</si>
  <si>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</si>
  <si>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</si>
  <si>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</si>
  <si>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</si>
  <si>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</si>
  <si>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</si>
  <si>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</si>
  <si>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</si>
  <si>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</si>
  <si>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</si>
  <si>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</si>
  <si>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</si>
  <si>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</si>
  <si>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</si>
  <si>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</si>
  <si>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</si>
  <si>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</si>
  <si>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</si>
  <si>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</si>
  <si>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</si>
  <si>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</si>
  <si>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</si>
  <si>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</si>
  <si>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</si>
  <si>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</si>
  <si>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</si>
  <si>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</si>
  <si>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</si>
  <si>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</si>
  <si>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</si>
  <si>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</si>
  <si>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</si>
  <si>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</si>
  <si>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</si>
  <si>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</si>
  <si>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</si>
  <si>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</si>
  <si>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</si>
  <si>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</si>
  <si>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</si>
  <si>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</si>
  <si>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</si>
  <si>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</si>
  <si>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</si>
  <si>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</si>
  <si>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</si>
  <si>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</si>
  <si>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</si>
  <si>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</si>
  <si>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</si>
  <si>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</si>
  <si>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</si>
  <si>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</si>
  <si>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</si>
  <si>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</si>
  <si>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</si>
  <si>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</si>
  <si>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</si>
  <si>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</si>
  <si>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</si>
  <si>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</si>
  <si>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</si>
  <si>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</si>
  <si>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</si>
  <si>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</si>
  <si>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</si>
  <si>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</si>
  <si>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</si>
  <si>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</si>
  <si>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</si>
  <si>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</si>
  <si>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</si>
  <si>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</si>
  <si>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</si>
  <si>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</si>
  <si>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</si>
  <si>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</si>
  <si>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</si>
  <si>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</si>
  <si>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</si>
  <si>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</si>
  <si>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</si>
  <si>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</si>
  <si>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</si>
  <si>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</si>
  <si>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</si>
  <si>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</si>
  <si>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</si>
  <si>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</si>
  <si>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</si>
  <si>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</si>
  <si>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</si>
  <si>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</si>
  <si>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</si>
  <si>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</si>
  <si>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</si>
  <si>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</si>
  <si>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</si>
  <si>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</si>
  <si>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</si>
  <si>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</si>
  <si>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</si>
  <si>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</si>
  <si>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</si>
  <si>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</si>
  <si>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</si>
  <si>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</si>
  <si>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</si>
  <si>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</si>
  <si>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</si>
  <si>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</si>
  <si>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</si>
  <si>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</si>
  <si>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</si>
  <si>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</si>
  <si>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</si>
  <si>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</si>
  <si>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</si>
  <si>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</si>
  <si>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</si>
  <si>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</si>
  <si>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</si>
  <si>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</si>
  <si>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</si>
  <si>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</si>
  <si>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</si>
  <si>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</si>
  <si>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</si>
  <si>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</si>
  <si>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</si>
  <si>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</si>
  <si>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</si>
  <si>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</si>
  <si>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</si>
  <si>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</si>
  <si>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</si>
  <si>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</si>
  <si>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</si>
  <si>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</si>
  <si>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</si>
  <si>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</si>
  <si>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</si>
  <si>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</si>
  <si>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</si>
  <si>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</si>
  <si>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</si>
  <si>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</si>
  <si>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</si>
  <si>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</si>
  <si>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</si>
  <si>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</si>
  <si>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</si>
  <si>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</si>
  <si>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</si>
  <si>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</si>
  <si>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</si>
  <si>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</si>
  <si>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</si>
  <si>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</si>
  <si>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</si>
  <si>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</si>
  <si>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</si>
  <si>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</si>
  <si>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</si>
  <si>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</si>
  <si>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</si>
  <si>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</si>
  <si>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</si>
  <si>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</si>
  <si>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</si>
  <si>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</si>
  <si>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</si>
  <si>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</si>
  <si>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</si>
  <si>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</si>
  <si>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</si>
  <si>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</si>
  <si>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</si>
  <si>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</si>
  <si>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</si>
  <si>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</si>
  <si>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</si>
  <si>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</si>
  <si>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</si>
  <si>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</si>
  <si>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</si>
  <si>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</si>
  <si>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</si>
  <si>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</si>
  <si>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</si>
  <si>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</si>
  <si>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</si>
  <si>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</si>
  <si>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</si>
  <si>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</si>
  <si>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</si>
  <si>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</si>
  <si>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</si>
  <si>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</si>
  <si>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</si>
  <si>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</si>
  <si>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</si>
  <si>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</si>
  <si>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</si>
  <si>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</si>
  <si>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</si>
  <si>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</si>
  <si>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</si>
  <si>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</si>
  <si>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</si>
  <si>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</si>
  <si>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</si>
  <si>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</si>
  <si>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</si>
  <si>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</si>
  <si>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</si>
  <si>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</si>
  <si>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</si>
  <si>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</si>
  <si>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</si>
  <si>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</si>
  <si>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</si>
  <si>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</si>
  <si>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</si>
  <si>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</si>
  <si>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</si>
  <si>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</si>
  <si>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</si>
  <si>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</si>
  <si>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</si>
  <si>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</si>
  <si>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</si>
  <si>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</si>
  <si>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</si>
  <si>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</si>
  <si>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</si>
  <si>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</si>
  <si>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</si>
  <si>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</si>
  <si>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</si>
  <si>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</si>
  <si>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</si>
  <si>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</si>
  <si>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</si>
  <si>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</si>
  <si>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</si>
  <si>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</si>
  <si>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</si>
  <si>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</si>
  <si>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</si>
  <si>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</si>
  <si>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</si>
  <si>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</si>
  <si>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</si>
  <si>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</si>
  <si>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</si>
  <si>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</si>
  <si>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</si>
  <si>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</si>
  <si>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</si>
  <si>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</si>
  <si>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</si>
  <si>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</si>
  <si>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</si>
  <si>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</si>
  <si>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</si>
  <si>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</si>
  <si>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</si>
  <si>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</si>
  <si>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</si>
  <si>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</si>
  <si>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</si>
  <si>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</si>
  <si>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</si>
  <si>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</si>
  <si>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</si>
  <si>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</si>
  <si>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</si>
  <si>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</si>
  <si>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</si>
  <si>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</si>
  <si>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</si>
  <si>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</si>
  <si>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</si>
  <si>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</si>
  <si>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</si>
  <si>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</si>
  <si>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</si>
  <si>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</si>
  <si>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</si>
  <si>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</si>
  <si>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</si>
  <si>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</si>
  <si>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CUST2824</t>
  </si>
  <si>
    <t>CUST1106</t>
  </si>
  <si>
    <t>CUST7201</t>
  </si>
  <si>
    <t>CUST3664</t>
  </si>
  <si>
    <t>CUST6168</t>
  </si>
  <si>
    <t>CUST4593</t>
  </si>
  <si>
    <t>CUST1188</t>
  </si>
  <si>
    <t>CUST9317</t>
  </si>
  <si>
    <t>CUST2403</t>
  </si>
  <si>
    <t>CUST7118</t>
  </si>
  <si>
    <t>CUST4899</t>
  </si>
  <si>
    <t>CUST2612</t>
  </si>
  <si>
    <t>CUST4872</t>
  </si>
  <si>
    <t>CUST4111</t>
  </si>
  <si>
    <t>CUST2964</t>
  </si>
  <si>
    <t>CUST8491</t>
  </si>
  <si>
    <t>CUST5956</t>
  </si>
  <si>
    <t>CUST4335</t>
  </si>
  <si>
    <t>CUST1158</t>
  </si>
  <si>
    <t>CUST7658</t>
  </si>
  <si>
    <t>CUST7267</t>
  </si>
  <si>
    <t>CUST9346</t>
  </si>
  <si>
    <t>CUST4114</t>
  </si>
  <si>
    <t>CUST5844</t>
  </si>
  <si>
    <t>CUST8752</t>
  </si>
  <si>
    <t>CUST2193</t>
  </si>
  <si>
    <t>CUST8611</t>
  </si>
  <si>
    <t>CUST5543</t>
  </si>
  <si>
    <t>CUST4505</t>
  </si>
  <si>
    <t>CUST7865</t>
  </si>
  <si>
    <t>CUST7455</t>
  </si>
  <si>
    <t>CUST5133</t>
  </si>
  <si>
    <t>CUST2874</t>
  </si>
  <si>
    <t>CUST7149</t>
  </si>
  <si>
    <t>CUST6590</t>
  </si>
  <si>
    <t>CUST2419</t>
  </si>
  <si>
    <t>CUST1166</t>
  </si>
  <si>
    <t>CUST7046</t>
  </si>
  <si>
    <t>CUST4138</t>
  </si>
  <si>
    <t>CUST3068</t>
  </si>
  <si>
    <t>CUST1878</t>
  </si>
  <si>
    <t>CUST2625</t>
  </si>
  <si>
    <t>CUST8438</t>
  </si>
  <si>
    <t>CUST5728</t>
  </si>
  <si>
    <t>CUST5415</t>
  </si>
  <si>
    <t>CUST9117</t>
  </si>
  <si>
    <t>CUST9167</t>
  </si>
  <si>
    <t>CUST2527</t>
  </si>
  <si>
    <t>CUST9327</t>
  </si>
  <si>
    <t>CUST9903</t>
  </si>
  <si>
    <t>CUST6439</t>
  </si>
  <si>
    <t>CUST9742</t>
  </si>
  <si>
    <t>CUST1474</t>
  </si>
  <si>
    <t>CUST5161</t>
  </si>
  <si>
    <t>CUST7302</t>
  </si>
  <si>
    <t>CUST4770</t>
  </si>
  <si>
    <t>CUST3153</t>
  </si>
  <si>
    <t>CUST4696</t>
  </si>
  <si>
    <t>CUST2775</t>
  </si>
  <si>
    <t>CUST5986</t>
  </si>
  <si>
    <t>CUST1536</t>
  </si>
  <si>
    <t>CUST1349</t>
  </si>
  <si>
    <t>CUST3858</t>
  </si>
  <si>
    <t>CUST2786</t>
  </si>
  <si>
    <t>CUST2323</t>
  </si>
  <si>
    <t>CUST7779</t>
  </si>
  <si>
    <t>CUST7105</t>
  </si>
  <si>
    <t>CUST8900</t>
  </si>
  <si>
    <t>CUST6062</t>
  </si>
  <si>
    <t>CUST6314</t>
  </si>
  <si>
    <t>CUST6655</t>
  </si>
  <si>
    <t>CUST8055</t>
  </si>
  <si>
    <t>CUST7843</t>
  </si>
  <si>
    <t>CUST6562</t>
  </si>
  <si>
    <t>CUST3902</t>
  </si>
  <si>
    <t>CUST5500</t>
  </si>
  <si>
    <t>CUST1672</t>
  </si>
  <si>
    <t>CUST8199</t>
  </si>
  <si>
    <t>CUST3463</t>
  </si>
  <si>
    <t>CUST6928</t>
  </si>
  <si>
    <t>CUST3658</t>
  </si>
  <si>
    <t>CUST8684</t>
  </si>
  <si>
    <t>CUST8873</t>
  </si>
  <si>
    <t>CUST7797</t>
  </si>
  <si>
    <t>CUST3273</t>
  </si>
  <si>
    <t>CUST8489</t>
  </si>
  <si>
    <t>CUST9618</t>
  </si>
  <si>
    <t>CUST2698</t>
  </si>
  <si>
    <t>CUST4268</t>
  </si>
  <si>
    <t>CUST7553</t>
  </si>
  <si>
    <t>CUST2311</t>
  </si>
  <si>
    <t>CUST6952</t>
  </si>
  <si>
    <t>CUST7095</t>
  </si>
  <si>
    <t>CUST8311</t>
  </si>
  <si>
    <t>CUST5914</t>
  </si>
  <si>
    <t>CUST2077</t>
  </si>
  <si>
    <t>CUST8088</t>
  </si>
  <si>
    <t>CUST3050</t>
  </si>
  <si>
    <t>CUST7825</t>
  </si>
  <si>
    <t>CUST8609</t>
  </si>
  <si>
    <t>CUST1829</t>
  </si>
  <si>
    <t>CUST7442</t>
  </si>
  <si>
    <t>CUST4189</t>
  </si>
  <si>
    <t>CUST1659</t>
  </si>
  <si>
    <t>CUST9351</t>
  </si>
  <si>
    <t>CUST4728</t>
  </si>
  <si>
    <t>CUST4340</t>
  </si>
  <si>
    <t>CUST5331</t>
  </si>
  <si>
    <t>CUST5480</t>
  </si>
  <si>
    <t>CUST9824</t>
  </si>
  <si>
    <t>CUST3587</t>
  </si>
  <si>
    <t>CUST7504</t>
  </si>
  <si>
    <t>CUST2845</t>
  </si>
  <si>
    <t>CUST4027</t>
  </si>
  <si>
    <t>CUST2936</t>
  </si>
  <si>
    <t>CUST7813</t>
  </si>
  <si>
    <t>CUST9281</t>
  </si>
  <si>
    <t>CUST8575</t>
  </si>
  <si>
    <t>CUST3218</t>
  </si>
  <si>
    <t>CUST9664</t>
  </si>
  <si>
    <t>CUST2848</t>
  </si>
  <si>
    <t>CUST1924</t>
  </si>
  <si>
    <t>CUST3869</t>
  </si>
  <si>
    <t>CUST8586</t>
  </si>
  <si>
    <t>CUST1647</t>
  </si>
  <si>
    <t>CUST4350</t>
  </si>
  <si>
    <t>CUST4328</t>
  </si>
  <si>
    <t>CUST6530</t>
  </si>
  <si>
    <t>CUST1794</t>
  </si>
  <si>
    <t>CUST1194</t>
  </si>
  <si>
    <t>CUST7502</t>
  </si>
  <si>
    <t>CUST8109</t>
  </si>
  <si>
    <t>CUST6152</t>
  </si>
  <si>
    <t>CUST2600</t>
  </si>
  <si>
    <t>CUST7227</t>
  </si>
  <si>
    <t>CUST2674</t>
  </si>
  <si>
    <t>CUST4977</t>
  </si>
  <si>
    <t>CUST9123</t>
  </si>
  <si>
    <t>CUST4290</t>
  </si>
  <si>
    <t>CUST3947</t>
  </si>
  <si>
    <t>CUST7932</t>
  </si>
  <si>
    <t>CUST1725</t>
  </si>
  <si>
    <t>CUST9199</t>
  </si>
  <si>
    <t>CUST8412</t>
  </si>
  <si>
    <t>CUST8570</t>
  </si>
  <si>
    <t>CUST2025</t>
  </si>
  <si>
    <t>CUST8501</t>
  </si>
  <si>
    <t>CUST7286</t>
  </si>
  <si>
    <t>CUST9115</t>
  </si>
  <si>
    <t>CUST2425</t>
  </si>
  <si>
    <t>CUST9827</t>
  </si>
  <si>
    <t>CUST5055</t>
  </si>
  <si>
    <t>CUST8449</t>
  </si>
  <si>
    <t>CUST5646</t>
  </si>
  <si>
    <t>CUST8009</t>
  </si>
  <si>
    <t>CUST4836</t>
  </si>
  <si>
    <t>CUST2678</t>
  </si>
  <si>
    <t>CUST2420</t>
  </si>
  <si>
    <t>CUST4090</t>
  </si>
  <si>
    <t>CUST6986</t>
  </si>
  <si>
    <t>CUST9791</t>
  </si>
  <si>
    <t>CUST1948</t>
  </si>
  <si>
    <t>CUST5247</t>
  </si>
  <si>
    <t>CUST3734</t>
  </si>
  <si>
    <t>CUST7870</t>
  </si>
  <si>
    <t>CUST8620</t>
  </si>
  <si>
    <t>CUST4201</t>
  </si>
  <si>
    <t>CUST1981</t>
  </si>
  <si>
    <t>CUST3141</t>
  </si>
  <si>
    <t>CUST7660</t>
  </si>
  <si>
    <t>CUST6828</t>
  </si>
  <si>
    <t>CUST3752</t>
  </si>
  <si>
    <t>CUST9173</t>
  </si>
  <si>
    <t>CUST9231</t>
  </si>
  <si>
    <t>CUST4951</t>
  </si>
  <si>
    <t>CUST3328</t>
  </si>
  <si>
    <t>CUST6301</t>
  </si>
  <si>
    <t>CUST6198</t>
  </si>
  <si>
    <t>CUST4619</t>
  </si>
  <si>
    <t>CUST6742</t>
  </si>
  <si>
    <t>CUST4695</t>
  </si>
  <si>
    <t>CUST1507</t>
  </si>
  <si>
    <t>CUST9043</t>
  </si>
  <si>
    <t>CUST5341</t>
  </si>
  <si>
    <t>CUST9871</t>
  </si>
  <si>
    <t>CUST3415</t>
  </si>
  <si>
    <t>CUST2097</t>
  </si>
  <si>
    <t>CUST9775</t>
  </si>
  <si>
    <t>CUST8785</t>
  </si>
  <si>
    <t>CUST2462</t>
  </si>
  <si>
    <t>CUST4288</t>
  </si>
  <si>
    <t>CUST8775</t>
  </si>
  <si>
    <t>CUST1328</t>
  </si>
  <si>
    <t>CUST4575</t>
  </si>
  <si>
    <t>CUST5529</t>
  </si>
  <si>
    <t>CUST5843</t>
  </si>
  <si>
    <t>CUST3096</t>
  </si>
  <si>
    <t>CUST8709</t>
  </si>
  <si>
    <t>CUST8496</t>
  </si>
  <si>
    <t>CUST8035</t>
  </si>
  <si>
    <t>CUST3112</t>
  </si>
  <si>
    <t>CUST7609</t>
  </si>
  <si>
    <t>CUST1323</t>
  </si>
  <si>
    <t>CUST2718</t>
  </si>
  <si>
    <t>CUST4402</t>
  </si>
  <si>
    <t>CUST8606</t>
  </si>
  <si>
    <t>CUST5395</t>
  </si>
  <si>
    <t>CUST3611</t>
  </si>
  <si>
    <t>CUST2037</t>
  </si>
  <si>
    <t>CUST7305</t>
  </si>
  <si>
    <t>CUST1824</t>
  </si>
  <si>
    <t>CUST9996</t>
  </si>
  <si>
    <t>CUST7704</t>
  </si>
  <si>
    <t>CUST3205</t>
  </si>
  <si>
    <t>CUST4560</t>
  </si>
  <si>
    <t>CUST9747</t>
  </si>
  <si>
    <t>CUST5835</t>
  </si>
  <si>
    <t>CUST6122</t>
  </si>
  <si>
    <t>CUST2220</t>
  </si>
  <si>
    <t>CUST1833</t>
  </si>
  <si>
    <t>CUST9897</t>
  </si>
  <si>
    <t>CUST4994</t>
  </si>
  <si>
    <t>CUST6248</t>
  </si>
  <si>
    <t>CUST3519</t>
  </si>
  <si>
    <t>CUST9762</t>
  </si>
  <si>
    <t>CUST1504</t>
  </si>
  <si>
    <t>CUST9970</t>
  </si>
  <si>
    <t>CUST1891</t>
  </si>
  <si>
    <t>CUST4170</t>
  </si>
  <si>
    <t>CUST6432</t>
  </si>
  <si>
    <t>CUST9309</t>
  </si>
  <si>
    <t>CUST2483</t>
  </si>
  <si>
    <t>CUST4796</t>
  </si>
  <si>
    <t>CUST9430</t>
  </si>
  <si>
    <t>CUST1367</t>
  </si>
  <si>
    <t>CUST8723</t>
  </si>
  <si>
    <t>CUST7315</t>
  </si>
  <si>
    <t>CUST9835</t>
  </si>
  <si>
    <t>CUST2373</t>
  </si>
  <si>
    <t>CUST5155</t>
  </si>
  <si>
    <t>CUST6024</t>
  </si>
  <si>
    <t>CUST2492</t>
  </si>
  <si>
    <t>CUST9099</t>
  </si>
  <si>
    <t>CUST1251</t>
  </si>
  <si>
    <t>CUST2185</t>
  </si>
  <si>
    <t>CUST7269</t>
  </si>
  <si>
    <t>CUST5408</t>
  </si>
  <si>
    <t>CUST9071</t>
  </si>
  <si>
    <t>CUST9613</t>
  </si>
  <si>
    <t>CUST2650</t>
  </si>
  <si>
    <t>CUST9470</t>
  </si>
  <si>
    <t>CUST5222</t>
  </si>
  <si>
    <t>CUST3373</t>
  </si>
  <si>
    <t>CUST8289</t>
  </si>
  <si>
    <t>CUST1575</t>
  </si>
  <si>
    <t>CUST9841</t>
  </si>
  <si>
    <t>CUST5799</t>
  </si>
  <si>
    <t>CUST9464</t>
  </si>
  <si>
    <t>CUST3492</t>
  </si>
  <si>
    <t>CUST7084</t>
  </si>
  <si>
    <t>CUST7304</t>
  </si>
  <si>
    <t>CUST3001</t>
  </si>
  <si>
    <t>CUST8786</t>
  </si>
  <si>
    <t>CUST2759</t>
  </si>
  <si>
    <t>CUST4109</t>
  </si>
  <si>
    <t>CUST9289</t>
  </si>
  <si>
    <t>CUST2809</t>
  </si>
  <si>
    <t>CUST7002</t>
  </si>
  <si>
    <t>CUST1955</t>
  </si>
  <si>
    <t>CUST3931</t>
  </si>
  <si>
    <t>CUST8258</t>
  </si>
  <si>
    <t>CUST7505</t>
  </si>
  <si>
    <t>CUST3534</t>
  </si>
  <si>
    <t>CUST2562</t>
  </si>
  <si>
    <t>CUST7266</t>
  </si>
  <si>
    <t>CUST3165</t>
  </si>
  <si>
    <t>CUST4212</t>
  </si>
  <si>
    <t>CUST5994</t>
  </si>
  <si>
    <t>CUST5713</t>
  </si>
  <si>
    <t>CUST7170</t>
  </si>
  <si>
    <t>CUST6901</t>
  </si>
  <si>
    <t>CUST1352</t>
  </si>
  <si>
    <t>CUST1482</t>
  </si>
  <si>
    <t>CUST3270</t>
  </si>
  <si>
    <t>CUST4016</t>
  </si>
  <si>
    <t>CUST4783</t>
  </si>
  <si>
    <t>CUST1245</t>
  </si>
  <si>
    <t>CUST7232</t>
  </si>
  <si>
    <t>CUST1807</t>
  </si>
  <si>
    <t>CUST9952</t>
  </si>
  <si>
    <t>CUST6946</t>
  </si>
  <si>
    <t>CUST7874</t>
  </si>
  <si>
    <t>CUST9084</t>
  </si>
  <si>
    <t>Clothing</t>
  </si>
  <si>
    <t>Electronics</t>
  </si>
  <si>
    <t>Sports</t>
  </si>
  <si>
    <t>Toys</t>
  </si>
  <si>
    <t>Books</t>
  </si>
  <si>
    <t>Beauty</t>
  </si>
  <si>
    <t>Home &amp; Kitchen</t>
  </si>
  <si>
    <t>Jeans</t>
  </si>
  <si>
    <t>Jacket</t>
  </si>
  <si>
    <t>Bicycle Helmet</t>
  </si>
  <si>
    <t>Dress</t>
  </si>
  <si>
    <t>Smartphone</t>
  </si>
  <si>
    <t>Sweater</t>
  </si>
  <si>
    <t>Smartwatch</t>
  </si>
  <si>
    <t>Football</t>
  </si>
  <si>
    <t>Puzzle</t>
  </si>
  <si>
    <t>Biography</t>
  </si>
  <si>
    <t>Toaster</t>
  </si>
  <si>
    <t>Mystery</t>
  </si>
  <si>
    <t>Board Game</t>
  </si>
  <si>
    <t>Yoga Mat</t>
  </si>
  <si>
    <t>Foundation</t>
  </si>
  <si>
    <t>Dumbbells</t>
  </si>
  <si>
    <t>Shampoo</t>
  </si>
  <si>
    <t>Tennis Racket</t>
  </si>
  <si>
    <t>Perfume</t>
  </si>
  <si>
    <t>Vacuum Cleaner</t>
  </si>
  <si>
    <t>Lipstick</t>
  </si>
  <si>
    <t>Novel</t>
  </si>
  <si>
    <t>T-shirt</t>
  </si>
  <si>
    <t>Lego Set</t>
  </si>
  <si>
    <t>Science Fiction</t>
  </si>
  <si>
    <t>Cookbook</t>
  </si>
  <si>
    <t>Microwave</t>
  </si>
  <si>
    <t>Cookware Set</t>
  </si>
  <si>
    <t>Camera</t>
  </si>
  <si>
    <t>Laptop</t>
  </si>
  <si>
    <t>Action Figure</t>
  </si>
  <si>
    <t>Doll</t>
  </si>
  <si>
    <t>Blender</t>
  </si>
  <si>
    <t>Headphones</t>
  </si>
  <si>
    <t>Moisturizer</t>
  </si>
  <si>
    <t>Central</t>
  </si>
  <si>
    <t>North</t>
  </si>
  <si>
    <t>West</t>
  </si>
  <si>
    <t>East</t>
  </si>
  <si>
    <t>South</t>
  </si>
  <si>
    <t>UPI</t>
  </si>
  <si>
    <t>Net Banking</t>
  </si>
  <si>
    <t>Credit Card</t>
  </si>
  <si>
    <t>Debit Card</t>
  </si>
  <si>
    <t>Cash on Delivery</t>
  </si>
  <si>
    <t>Unknown</t>
  </si>
  <si>
    <t>Grand Total</t>
  </si>
  <si>
    <t>Category</t>
  </si>
  <si>
    <t>Units sold</t>
  </si>
  <si>
    <t>Total amount</t>
  </si>
  <si>
    <t>Total Sales - Category wise</t>
  </si>
  <si>
    <t>Payment method Review</t>
  </si>
  <si>
    <t>Payment method</t>
  </si>
  <si>
    <t>Product category</t>
  </si>
  <si>
    <t>Overall Discount Comparison</t>
  </si>
  <si>
    <t>RETAIL SALES ANALYSIS</t>
  </si>
  <si>
    <t>Total Units sold</t>
  </si>
  <si>
    <t>Year</t>
  </si>
  <si>
    <t>2024</t>
  </si>
  <si>
    <t>2023</t>
  </si>
  <si>
    <t>2025</t>
  </si>
  <si>
    <t>Total Sales Amount</t>
  </si>
  <si>
    <t>Region - wise Total sales</t>
  </si>
  <si>
    <t>Quantity sold</t>
  </si>
  <si>
    <t>Annual Sales Comparison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</si>
</sst>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6" x14ac:knownFonts="1">
    <font>
      <sz val="11"/>
      <color theme="1"/>
      <name val="Calibri"/>
      <family val="2"/>
      <scheme val="minor"/>
    </font>
    <font>
      <b/>
      <sz val="11"/>
      <color theme="1"/>
      <name val="Calibri"/>
      <family val="2"/>
      <scheme val="minor"/>
    </font>
    <font>
      <b/>
      <i/>
      <sz val="22"/>
      <color theme="3"/>
      <name val="Calibri"/>
      <family val="2"/>
      <scheme val="minor"/>
    </font>
    <font>
      <sz val="8"/>
      <name val="Calibri"/>
      <family val="2"/>
      <scheme val="minor"/>
    </font>
    <font>
      <b/>
      <i/>
      <sz val="26"/>
      <color theme="3"/>
      <name val="Aharoni"/>
    </font>
    <font>
      <b/>
      <i/>
      <sz val="14"/>
      <color theme="5"/>
      <name val="Calibri"/>
      <family val="2"/>
      <scheme val="minor"/>
    </font>
  </fonts>
  <fills count="5">
    <fill>
      <patternFill patternType="none"/>
    </fill>
    <fill>
      <patternFill patternType="gray125"/>
    </fill>
    <fill>
      <patternFill patternType="solid">
        <fgColor theme="6" tint="0.79998168889431442"/>
        <bgColor indexed="64"/>
      </patternFill>
    </fill>
    <fill>
      <patternFill patternType="solid">
        <fgColor theme="8" tint="-0.249977111117893"/>
        <bgColor indexed="64"/>
      </patternFill>
    </fill>
    <fill>
      <patternFill patternType="solid">
        <fgColor theme="6" tint="0.39997558519241921"/>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top"/>
    </xf>
    <xf numFmtId="2" fontId="1" fillId="0" borderId="1" xfId="0" applyNumberFormat="1" applyFont="1" applyBorder="1" applyAlignment="1">
      <alignment horizontal="center" vertical="top"/>
    </xf>
    <xf numFmtId="2" fontId="0" fillId="0" borderId="0" xfId="0" applyNumberFormat="1"/>
    <xf numFmtId="14" fontId="1" fillId="0" borderId="1" xfId="0" applyNumberFormat="1"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xf numFmtId="0" fontId="0" fillId="0" borderId="0" xfId="0" applyAlignment="1">
      <alignment horizontal="left"/>
    </xf>
    <xf numFmtId="0" fontId="0" fillId="0" borderId="0" xfId="0" pivotButton="1" applyAlignment="1">
      <alignment horizontal="center"/>
    </xf>
    <xf numFmtId="0" fontId="0" fillId="0" borderId="0" xfId="0" applyAlignment="1">
      <alignment horizontal="center"/>
    </xf>
    <xf numFmtId="0" fontId="0" fillId="0" borderId="0" xfId="0" pivotButton="1"/>
    <xf numFmtId="14" fontId="0" fillId="0" borderId="0" xfId="0" applyNumberFormat="1" applyAlignment="1">
      <alignment horizontal="center"/>
    </xf>
    <xf numFmtId="164" fontId="0" fillId="0" borderId="0" xfId="0" applyNumberFormat="1" applyAlignment="1">
      <alignment horizontal="center"/>
    </xf>
    <xf numFmtId="0" fontId="0" fillId="3" borderId="0" xfId="0" applyFill="1"/>
    <xf numFmtId="1" fontId="0" fillId="0" borderId="0" xfId="0" applyNumberFormat="1"/>
    <xf numFmtId="165" fontId="0" fillId="0" borderId="0" xfId="0" applyNumberFormat="1"/>
    <xf numFmtId="49" fontId="1" fillId="0" borderId="1" xfId="0" applyNumberFormat="1" applyFont="1" applyBorder="1" applyAlignment="1">
      <alignment horizontal="center" vertical="top"/>
    </xf>
    <xf numFmtId="49" fontId="0" fillId="0" borderId="0" xfId="0" applyNumberFormat="1"/>
    <xf numFmtId="0" fontId="2" fillId="2" borderId="0" xfId="0" applyFont="1" applyFill="1" applyAlignment="1">
      <alignment horizontal="center" vertical="center"/>
    </xf>
    <xf numFmtId="0" fontId="4" fillId="2" borderId="0" xfId="0" applyFont="1" applyFill="1" applyAlignment="1">
      <alignment horizontal="center" vertical="center"/>
    </xf>
    <xf numFmtId="0" fontId="5" fillId="4" borderId="0" xfId="0" applyFont="1" applyFill="1" applyAlignment="1">
      <alignment horizontal="center"/>
    </xf>
    <xf numFmtId="165" fontId="5" fillId="4" borderId="0" xfId="0" applyNumberFormat="1" applyFont="1" applyFill="1" applyAlignment="1">
      <alignment horizontal="center"/>
    </xf>
  </cellXfs>
  <cellStyles count="1">
    <cellStyle name="Normal" xfId="0" builtinId="0"/>
  </cellStyles>
  <dxfs count="25">
    <dxf>
      <numFmt numFmtId="1" formatCode="0"/>
    </dxf>
    <dxf>
      <alignment horizontal="center"/>
    </dxf>
    <dxf>
      <alignment horizontal="center"/>
    </dxf>
    <dxf>
      <numFmt numFmtId="165" formatCode="&quot;₹&quot;\ #,##0"/>
    </dxf>
    <dxf>
      <numFmt numFmtId="165" formatCode="&quot;₹&quot;\ #,##0"/>
    </dxf>
    <dxf>
      <alignment horizontal="center"/>
    </dxf>
    <dxf>
      <alignment horizontal="center"/>
    </dxf>
    <dxf>
      <alignment horizontal="center"/>
    </dxf>
    <dxf>
      <alignment horizontal="center"/>
    </dxf>
    <dxf>
      <alignment horizontal="center"/>
    </dxf>
    <dxf>
      <alignment horizontal="center"/>
    </dxf>
    <dxf>
      <numFmt numFmtId="164" formatCode="&quot;₹&quot;\ #,##0.00"/>
    </dxf>
    <dxf>
      <numFmt numFmtId="164" formatCode="&quot;₹&quot;\ #,##0.00"/>
    </dxf>
    <dxf>
      <numFmt numFmtId="30" formatCode="@"/>
    </dxf>
    <dxf>
      <numFmt numFmtId="30" formatCode="@"/>
    </dxf>
    <dxf>
      <numFmt numFmtId="19" formatCode="dd/mm/yyyy"/>
      <alignment horizontal="center" vertical="bottom" textRotation="0" wrapText="0" indent="0" justifyLastLine="0" shrinkToFit="0" readingOrder="0"/>
    </dxf>
    <dxf>
      <numFmt numFmtId="19" formatCode="dd/mm/yyyy"/>
      <alignment horizontal="center" textRotation="0" wrapText="0" indent="0" justifyLastLine="0" shrinkToFit="0" readingOrder="0"/>
    </dxf>
    <dxf>
      <numFmt numFmtId="164" formatCode="&quot;₹&quot;\ #,##0.00"/>
    </dxf>
    <dxf>
      <numFmt numFmtId="2" formatCode="0.00"/>
    </dxf>
    <dxf>
      <numFmt numFmtId="2" formatCode="0.00"/>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microsoft.com/office/2007/relationships/slicerCache" Target="slicerCaches/slicerCache2.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microsoft.com/office/2007/relationships/slicerCache" Target="slicerCaches/slicerCache4.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11/relationships/timelineCache" Target="timelineCaches/timelineCache1.xml"/><Relationship Id="rId28" Type="http://schemas.openxmlformats.org/officeDocument/2006/relationships/powerPivotData" Target="model/item.data"/><Relationship Id="rId10" Type="http://schemas.openxmlformats.org/officeDocument/2006/relationships/pivotCacheDefinition" Target="pivotCache/pivotCacheDefinition3.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0.xml"/><Relationship Id="rId27" Type="http://schemas.openxmlformats.org/officeDocument/2006/relationships/sharedStrings" Target="sharedString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analysis.xlsx]Payment method Review!PivotTable2</c:name>
    <c:fmtId val="0"/>
  </c:pivotSource>
  <c:chart>
    <c:title>
      <c:tx>
        <c:rich>
          <a:bodyPr rot="0" spcFirstLastPara="1" vertOverflow="ellipsis" vert="horz" wrap="square" anchor="ctr" anchorCtr="1"/>
          <a:lstStyle/>
          <a:p>
            <a:pPr algn="ctr" rtl="0">
              <a:defRPr lang="en-US" sz="1400" b="1" i="1" u="none" strike="noStrike" kern="1200" spc="0" baseline="0">
                <a:solidFill>
                  <a:schemeClr val="accent1">
                    <a:lumMod val="50000"/>
                  </a:schemeClr>
                </a:solidFill>
                <a:latin typeface="Aharoni" panose="02010803020104030203" pitchFamily="2" charset="-79"/>
                <a:ea typeface="+mn-ea"/>
                <a:cs typeface="Aharoni" panose="02010803020104030203" pitchFamily="2" charset="-79"/>
              </a:defRPr>
            </a:pPr>
            <a:r>
              <a:rPr lang="en-US" sz="1400" b="1" i="1" u="none" strike="noStrike" kern="1200" spc="0" baseline="0">
                <a:solidFill>
                  <a:schemeClr val="accent1">
                    <a:lumMod val="50000"/>
                  </a:schemeClr>
                </a:solidFill>
                <a:latin typeface="Aharoni" panose="02010803020104030203" pitchFamily="2" charset="-79"/>
                <a:ea typeface="+mn-ea"/>
                <a:cs typeface="Aharoni" panose="02010803020104030203" pitchFamily="2" charset="-79"/>
              </a:rPr>
              <a:t>Payment method Review</a:t>
            </a:r>
          </a:p>
        </c:rich>
      </c:tx>
      <c:overlay val="0"/>
      <c:spPr>
        <a:solidFill>
          <a:schemeClr val="accent3">
            <a:lumMod val="20000"/>
            <a:lumOff val="80000"/>
          </a:schemeClr>
        </a:solidFill>
        <a:ln>
          <a:noFill/>
        </a:ln>
        <a:effectLst/>
      </c:spPr>
      <c:txPr>
        <a:bodyPr rot="0" spcFirstLastPara="1" vertOverflow="ellipsis" vert="horz" wrap="square" anchor="ctr" anchorCtr="1"/>
        <a:lstStyle/>
        <a:p>
          <a:pPr algn="ctr" rtl="0">
            <a:defRPr lang="en-US" sz="1400" b="1" i="1" u="none" strike="noStrike" kern="1200" spc="0" baseline="0">
              <a:solidFill>
                <a:schemeClr val="accent1">
                  <a:lumMod val="50000"/>
                </a:schemeClr>
              </a:solidFill>
              <a:latin typeface="Aharoni" panose="02010803020104030203" pitchFamily="2" charset="-79"/>
              <a:ea typeface="+mn-ea"/>
              <a:cs typeface="Aharoni" panose="02010803020104030203" pitchFamily="2" charset="-79"/>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1259059227185643"/>
              <c:y val="8.91007662790288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133734995454331"/>
                  <c:h val="0.19871778322791619"/>
                </c:manualLayout>
              </c15:layout>
            </c:ext>
          </c:extLst>
        </c:dLbl>
      </c:pivotFmt>
      <c:pivotFmt>
        <c:idx val="2"/>
        <c:spPr>
          <a:solidFill>
            <a:schemeClr val="accent1"/>
          </a:solidFill>
          <a:ln w="19050">
            <a:solidFill>
              <a:schemeClr val="lt1"/>
            </a:solidFill>
          </a:ln>
          <a:effectLst/>
        </c:spPr>
        <c:dLbl>
          <c:idx val="0"/>
          <c:layout>
            <c:manualLayout>
              <c:x val="2.9941291585127202E-2"/>
              <c:y val="-5.11889255273791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770404127566246"/>
              <c:y val="-8.00912181059334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3.2956197256164894E-2"/>
              <c:y val="-0.208863254984334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9.3279221946571747E-2"/>
              <c:y val="1.675663306617224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6273582240576083E-2"/>
                  <c:h val="0.13749447488959557"/>
                </c:manualLayout>
              </c15:layout>
            </c:ext>
          </c:extLst>
        </c:dLbl>
      </c:pivotFmt>
    </c:pivotFmts>
    <c:plotArea>
      <c:layout/>
      <c:pieChart>
        <c:varyColors val="1"/>
        <c:ser>
          <c:idx val="0"/>
          <c:order val="0"/>
          <c:tx>
            <c:strRef>
              <c:f>'Payment method Review'!$F$5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22-419C-8D92-306BFFBC1A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22-419C-8D92-306BFFBC1A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22-419C-8D92-306BFFBC1A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22-419C-8D92-306BFFBC1A4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622-419C-8D92-306BFFBC1A4D}"/>
              </c:ext>
            </c:extLst>
          </c:dPt>
          <c:dLbls>
            <c:dLbl>
              <c:idx val="0"/>
              <c:layout>
                <c:manualLayout>
                  <c:x val="0.11259059227185643"/>
                  <c:y val="8.9100766279028812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8133734995454331"/>
                      <c:h val="0.19871778322791619"/>
                    </c:manualLayout>
                  </c15:layout>
                </c:ext>
                <c:ext xmlns:c16="http://schemas.microsoft.com/office/drawing/2014/chart" uri="{C3380CC4-5D6E-409C-BE32-E72D297353CC}">
                  <c16:uniqueId val="{00000001-9622-419C-8D92-306BFFBC1A4D}"/>
                </c:ext>
              </c:extLst>
            </c:dLbl>
            <c:dLbl>
              <c:idx val="1"/>
              <c:layout>
                <c:manualLayout>
                  <c:x val="2.9941291585127202E-2"/>
                  <c:y val="-5.118892552737912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622-419C-8D92-306BFFBC1A4D}"/>
                </c:ext>
              </c:extLst>
            </c:dLbl>
            <c:dLbl>
              <c:idx val="2"/>
              <c:layout>
                <c:manualLayout>
                  <c:x val="-0.1770404127566246"/>
                  <c:y val="-8.009121810593347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622-419C-8D92-306BFFBC1A4D}"/>
                </c:ext>
              </c:extLst>
            </c:dLbl>
            <c:dLbl>
              <c:idx val="3"/>
              <c:layout>
                <c:manualLayout>
                  <c:x val="-3.2956197256164894E-2"/>
                  <c:y val="-0.2088632549843341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622-419C-8D92-306BFFBC1A4D}"/>
                </c:ext>
              </c:extLst>
            </c:dLbl>
            <c:dLbl>
              <c:idx val="4"/>
              <c:layout>
                <c:manualLayout>
                  <c:x val="-9.3279221946571747E-2"/>
                  <c:y val="1.6756633066172241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9.6273582240576083E-2"/>
                      <c:h val="0.13749447488959557"/>
                    </c:manualLayout>
                  </c15:layout>
                </c:ext>
                <c:ext xmlns:c16="http://schemas.microsoft.com/office/drawing/2014/chart" uri="{C3380CC4-5D6E-409C-BE32-E72D297353CC}">
                  <c16:uniqueId val="{00000009-9622-419C-8D92-306BFFBC1A4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 method Review'!$E$6:$E$11</c:f>
              <c:strCache>
                <c:ptCount val="5"/>
                <c:pt idx="0">
                  <c:v>Cash on Delivery</c:v>
                </c:pt>
                <c:pt idx="1">
                  <c:v>Credit Card</c:v>
                </c:pt>
                <c:pt idx="2">
                  <c:v>Debit Card</c:v>
                </c:pt>
                <c:pt idx="3">
                  <c:v>Net Banking</c:v>
                </c:pt>
                <c:pt idx="4">
                  <c:v>UPI</c:v>
                </c:pt>
              </c:strCache>
            </c:strRef>
          </c:cat>
          <c:val>
            <c:numRef>
              <c:f>'Payment method Review'!$F$6:$F$11</c:f>
              <c:numCache>
                <c:formatCode>"₹"\ #,##0.00</c:formatCode>
                <c:ptCount val="5"/>
                <c:pt idx="0">
                  <c:v>36525.4932422536</c:v>
                </c:pt>
                <c:pt idx="1">
                  <c:v>42220.631265466807</c:v>
                </c:pt>
                <c:pt idx="2">
                  <c:v>40115.80531607</c:v>
                </c:pt>
                <c:pt idx="3">
                  <c:v>39032.948435880389</c:v>
                </c:pt>
                <c:pt idx="4">
                  <c:v>45755.461340972419</c:v>
                </c:pt>
              </c:numCache>
            </c:numRef>
          </c:val>
          <c:extLst>
            <c:ext xmlns:c16="http://schemas.microsoft.com/office/drawing/2014/chart" uri="{C3380CC4-5D6E-409C-BE32-E72D297353CC}">
              <c16:uniqueId val="{00000000-8AE2-49EC-B536-6A92E557AEB1}"/>
            </c:ext>
          </c:extLst>
        </c:ser>
        <c:dLbls>
          <c:dLblPos val="bestFit"/>
          <c:showLegendKey val="0"/>
          <c:showVal val="1"/>
          <c:showCatName val="0"/>
          <c:showSerName val="0"/>
          <c:showPercent val="0"/>
          <c:showBubbleSize val="0"/>
          <c:showLeaderLines val="0"/>
        </c:dLbls>
        <c:firstSliceAng val="13"/>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analysis.xlsx]Total Sales - Category wise!PivotTable1</c:name>
    <c:fmtId val="3"/>
  </c:pivotSource>
  <c:chart>
    <c:title>
      <c:tx>
        <c:rich>
          <a:bodyPr rot="0" spcFirstLastPara="1" vertOverflow="ellipsis" vert="horz" wrap="square" anchor="ctr" anchorCtr="1"/>
          <a:lstStyle/>
          <a:p>
            <a:pPr>
              <a:defRPr sz="1400" b="1" i="1" u="none" strike="noStrike" kern="1200" spc="0" baseline="0">
                <a:solidFill>
                  <a:schemeClr val="accent1">
                    <a:lumMod val="50000"/>
                  </a:schemeClr>
                </a:solidFill>
                <a:latin typeface="Aharoni" panose="02010803020104030203" pitchFamily="2" charset="-79"/>
                <a:ea typeface="+mn-ea"/>
                <a:cs typeface="Aharoni" panose="02010803020104030203" pitchFamily="2" charset="-79"/>
              </a:defRPr>
            </a:pPr>
            <a:r>
              <a:rPr lang="en-IN" b="1" i="1">
                <a:solidFill>
                  <a:schemeClr val="accent1">
                    <a:lumMod val="50000"/>
                  </a:schemeClr>
                </a:solidFill>
                <a:latin typeface="Aharoni" panose="02010803020104030203" pitchFamily="2" charset="-79"/>
                <a:cs typeface="Aharoni" panose="02010803020104030203" pitchFamily="2" charset="-79"/>
              </a:rPr>
              <a:t>Total Sales - Category wise</a:t>
            </a:r>
          </a:p>
        </c:rich>
      </c:tx>
      <c:layout>
        <c:manualLayout>
          <c:xMode val="edge"/>
          <c:yMode val="edge"/>
          <c:x val="0.25874425977481191"/>
          <c:y val="3.3003300330033E-2"/>
        </c:manualLayout>
      </c:layout>
      <c:overlay val="0"/>
      <c:spPr>
        <a:solidFill>
          <a:schemeClr val="accent3">
            <a:lumMod val="20000"/>
            <a:lumOff val="80000"/>
          </a:schemeClr>
        </a:solidFill>
        <a:ln>
          <a:noFill/>
        </a:ln>
        <a:effectLst/>
      </c:spPr>
      <c:txPr>
        <a:bodyPr rot="0" spcFirstLastPara="1" vertOverflow="ellipsis" vert="horz" wrap="square" anchor="ctr" anchorCtr="1"/>
        <a:lstStyle/>
        <a:p>
          <a:pPr>
            <a:defRPr sz="1400" b="1" i="1" u="none" strike="noStrike" kern="1200" spc="0" baseline="0">
              <a:solidFill>
                <a:schemeClr val="accent1">
                  <a:lumMod val="50000"/>
                </a:schemeClr>
              </a:solidFill>
              <a:latin typeface="Aharoni" panose="02010803020104030203" pitchFamily="2" charset="-79"/>
              <a:ea typeface="+mn-ea"/>
              <a:cs typeface="Aharoni" panose="02010803020104030203" pitchFamily="2" charset="-79"/>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'Total Sales - Category wise'!$F$5</c:f>
              <c:strCache>
                <c:ptCount val="1"/>
                <c:pt idx="0">
                  <c:v>Total amount</c:v>
                </c:pt>
              </c:strCache>
            </c:strRef>
          </c:tx>
          <c:spPr>
            <a:solidFill>
              <a:schemeClr val="accent2"/>
            </a:solidFill>
            <a:ln>
              <a:noFill/>
            </a:ln>
            <a:effectLst/>
          </c:spPr>
          <c:invertIfNegative val="0"/>
          <c:cat>
            <c:strRef>
              <c:f>'Total Sales - Category wise'!$D$6:$D$13</c:f>
              <c:strCache>
                <c:ptCount val="7"/>
                <c:pt idx="0">
                  <c:v>Beauty</c:v>
                </c:pt>
                <c:pt idx="1">
                  <c:v>Books</c:v>
                </c:pt>
                <c:pt idx="2">
                  <c:v>Clothing</c:v>
                </c:pt>
                <c:pt idx="3">
                  <c:v>Electronics</c:v>
                </c:pt>
                <c:pt idx="4">
                  <c:v>Home &amp; Kitchen</c:v>
                </c:pt>
                <c:pt idx="5">
                  <c:v>Sports</c:v>
                </c:pt>
                <c:pt idx="6">
                  <c:v>Toys</c:v>
                </c:pt>
              </c:strCache>
            </c:strRef>
          </c:cat>
          <c:val>
            <c:numRef>
              <c:f>'Total Sales - Category wise'!$F$6:$F$13</c:f>
              <c:numCache>
                <c:formatCode>"₹"\ #,##0.00</c:formatCode>
                <c:ptCount val="7"/>
                <c:pt idx="0">
                  <c:v>26394.72016030968</c:v>
                </c:pt>
                <c:pt idx="1">
                  <c:v>29122.527152770414</c:v>
                </c:pt>
                <c:pt idx="2">
                  <c:v>32424.544658288822</c:v>
                </c:pt>
                <c:pt idx="3">
                  <c:v>23819.068275210841</c:v>
                </c:pt>
                <c:pt idx="4">
                  <c:v>31879.363639410141</c:v>
                </c:pt>
                <c:pt idx="5">
                  <c:v>26405.463473223961</c:v>
                </c:pt>
                <c:pt idx="6">
                  <c:v>33604.652241429387</c:v>
                </c:pt>
              </c:numCache>
            </c:numRef>
          </c:val>
          <c:extLst>
            <c:ext xmlns:c16="http://schemas.microsoft.com/office/drawing/2014/chart" uri="{C3380CC4-5D6E-409C-BE32-E72D297353CC}">
              <c16:uniqueId val="{00000001-913C-4842-886E-F62E2E7B1B6B}"/>
            </c:ext>
          </c:extLst>
        </c:ser>
        <c:dLbls>
          <c:showLegendKey val="0"/>
          <c:showVal val="0"/>
          <c:showCatName val="0"/>
          <c:showSerName val="0"/>
          <c:showPercent val="0"/>
          <c:showBubbleSize val="0"/>
        </c:dLbls>
        <c:gapWidth val="219"/>
        <c:axId val="1089470543"/>
        <c:axId val="1089471023"/>
      </c:barChart>
      <c:lineChart>
        <c:grouping val="standard"/>
        <c:varyColors val="0"/>
        <c:ser>
          <c:idx val="0"/>
          <c:order val="0"/>
          <c:tx>
            <c:strRef>
              <c:f>'Total Sales - Category wise'!$E$5</c:f>
              <c:strCache>
                <c:ptCount val="1"/>
                <c:pt idx="0">
                  <c:v>Units sold</c:v>
                </c:pt>
              </c:strCache>
            </c:strRef>
          </c:tx>
          <c:spPr>
            <a:ln w="28575" cap="rnd">
              <a:solidFill>
                <a:schemeClr val="accent1"/>
              </a:solidFill>
              <a:round/>
            </a:ln>
            <a:effectLst/>
          </c:spPr>
          <c:marker>
            <c:symbol val="none"/>
          </c:marker>
          <c:cat>
            <c:strRef>
              <c:f>'Total Sales - Category wise'!$D$6:$D$13</c:f>
              <c:strCache>
                <c:ptCount val="7"/>
                <c:pt idx="0">
                  <c:v>Beauty</c:v>
                </c:pt>
                <c:pt idx="1">
                  <c:v>Books</c:v>
                </c:pt>
                <c:pt idx="2">
                  <c:v>Clothing</c:v>
                </c:pt>
                <c:pt idx="3">
                  <c:v>Electronics</c:v>
                </c:pt>
                <c:pt idx="4">
                  <c:v>Home &amp; Kitchen</c:v>
                </c:pt>
                <c:pt idx="5">
                  <c:v>Sports</c:v>
                </c:pt>
                <c:pt idx="6">
                  <c:v>Toys</c:v>
                </c:pt>
              </c:strCache>
            </c:strRef>
          </c:cat>
          <c:val>
            <c:numRef>
              <c:f>'Total Sales - Category wise'!$E$6:$E$13</c:f>
              <c:numCache>
                <c:formatCode>0.00</c:formatCode>
                <c:ptCount val="7"/>
                <c:pt idx="0">
                  <c:v>145</c:v>
                </c:pt>
                <c:pt idx="1">
                  <c:v>135</c:v>
                </c:pt>
                <c:pt idx="2">
                  <c:v>148</c:v>
                </c:pt>
                <c:pt idx="3">
                  <c:v>110</c:v>
                </c:pt>
                <c:pt idx="4">
                  <c:v>133</c:v>
                </c:pt>
                <c:pt idx="5">
                  <c:v>143</c:v>
                </c:pt>
                <c:pt idx="6">
                  <c:v>155</c:v>
                </c:pt>
              </c:numCache>
            </c:numRef>
          </c:val>
          <c:smooth val="0"/>
          <c:extLst>
            <c:ext xmlns:c16="http://schemas.microsoft.com/office/drawing/2014/chart" uri="{C3380CC4-5D6E-409C-BE32-E72D297353CC}">
              <c16:uniqueId val="{00000000-913C-4842-886E-F62E2E7B1B6B}"/>
            </c:ext>
          </c:extLst>
        </c:ser>
        <c:dLbls>
          <c:showLegendKey val="0"/>
          <c:showVal val="0"/>
          <c:showCatName val="0"/>
          <c:showSerName val="0"/>
          <c:showPercent val="0"/>
          <c:showBubbleSize val="0"/>
        </c:dLbls>
        <c:marker val="1"/>
        <c:smooth val="0"/>
        <c:axId val="1089473423"/>
        <c:axId val="1089469583"/>
      </c:lineChart>
      <c:catAx>
        <c:axId val="108947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89471023"/>
        <c:crosses val="autoZero"/>
        <c:auto val="1"/>
        <c:lblAlgn val="ctr"/>
        <c:lblOffset val="100"/>
        <c:noMultiLvlLbl val="0"/>
      </c:catAx>
      <c:valAx>
        <c:axId val="1089471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89470543"/>
        <c:crosses val="autoZero"/>
        <c:crossBetween val="between"/>
      </c:valAx>
      <c:valAx>
        <c:axId val="108946958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89473423"/>
        <c:crosses val="max"/>
        <c:crossBetween val="between"/>
      </c:valAx>
      <c:catAx>
        <c:axId val="1089473423"/>
        <c:scaling>
          <c:orientation val="minMax"/>
        </c:scaling>
        <c:delete val="1"/>
        <c:axPos val="b"/>
        <c:numFmt formatCode="General" sourceLinked="1"/>
        <c:majorTickMark val="out"/>
        <c:minorTickMark val="none"/>
        <c:tickLblPos val="nextTo"/>
        <c:crossAx val="108946958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analysis.xlsx]Overall Discount Comparison!PivotTable1</c:name>
    <c:fmtId val="1"/>
  </c:pivotSource>
  <c:chart>
    <c:title>
      <c:tx>
        <c:rich>
          <a:bodyPr rot="0" spcFirstLastPara="1" vertOverflow="ellipsis" vert="horz" wrap="square" anchor="ctr" anchorCtr="1"/>
          <a:lstStyle/>
          <a:p>
            <a:pPr algn="ctr" rtl="0">
              <a:defRPr lang="en-IN" sz="1400" b="1" i="1" u="none" strike="noStrike" kern="1200" spc="0" baseline="0">
                <a:solidFill>
                  <a:schemeClr val="accent1">
                    <a:lumMod val="50000"/>
                  </a:schemeClr>
                </a:solidFill>
                <a:latin typeface="Aharoni" panose="02010803020104030203" pitchFamily="2" charset="-79"/>
                <a:ea typeface="+mn-ea"/>
                <a:cs typeface="Aharoni" panose="02010803020104030203" pitchFamily="2" charset="-79"/>
              </a:defRPr>
            </a:pPr>
            <a:r>
              <a:rPr lang="en-IN" sz="1400" b="1" i="1" u="none" strike="noStrike" kern="1200" spc="0" baseline="0">
                <a:solidFill>
                  <a:schemeClr val="accent1">
                    <a:lumMod val="50000"/>
                  </a:schemeClr>
                </a:solidFill>
                <a:latin typeface="Aharoni" panose="02010803020104030203" pitchFamily="2" charset="-79"/>
                <a:ea typeface="+mn-ea"/>
                <a:cs typeface="Aharoni" panose="02010803020104030203" pitchFamily="2" charset="-79"/>
              </a:rPr>
              <a:t>Overall Discount Comparison</a:t>
            </a:r>
          </a:p>
        </c:rich>
      </c:tx>
      <c:layout>
        <c:manualLayout>
          <c:xMode val="edge"/>
          <c:yMode val="edge"/>
          <c:x val="0.2290744906886639"/>
          <c:y val="2.7777777777777776E-2"/>
        </c:manualLayout>
      </c:layout>
      <c:overlay val="0"/>
      <c:spPr>
        <a:solidFill>
          <a:schemeClr val="accent3">
            <a:lumMod val="20000"/>
            <a:lumOff val="80000"/>
          </a:schemeClr>
        </a:solidFill>
        <a:ln>
          <a:noFill/>
        </a:ln>
        <a:effectLst/>
      </c:spPr>
      <c:txPr>
        <a:bodyPr rot="0" spcFirstLastPara="1" vertOverflow="ellipsis" vert="horz" wrap="square" anchor="ctr" anchorCtr="1"/>
        <a:lstStyle/>
        <a:p>
          <a:pPr algn="ctr" rtl="0">
            <a:defRPr lang="en-IN" sz="1400" b="1" i="1" u="none" strike="noStrike" kern="1200" spc="0" baseline="0">
              <a:solidFill>
                <a:schemeClr val="accent1">
                  <a:lumMod val="50000"/>
                </a:schemeClr>
              </a:solidFill>
              <a:latin typeface="Aharoni" panose="02010803020104030203" pitchFamily="2" charset="-79"/>
              <a:ea typeface="+mn-ea"/>
              <a:cs typeface="Aharoni" panose="02010803020104030203" pitchFamily="2" charset="-79"/>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'Overall Discount Comparison'!$G$5</c:f>
              <c:strCache>
                <c:ptCount val="1"/>
                <c:pt idx="0">
                  <c:v>Discount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'Overall Discount Comparison'!$F$6:$F$13</c:f>
              <c:strCache>
                <c:ptCount val="7"/>
                <c:pt idx="0">
                  <c:v>Beauty</c:v>
                </c:pt>
                <c:pt idx="1">
                  <c:v>Books</c:v>
                </c:pt>
                <c:pt idx="2">
                  <c:v>Clothing</c:v>
                </c:pt>
                <c:pt idx="3">
                  <c:v>Electronics</c:v>
                </c:pt>
                <c:pt idx="4">
                  <c:v>Home &amp; Kitchen</c:v>
                </c:pt>
                <c:pt idx="5">
                  <c:v>Sports</c:v>
                </c:pt>
                <c:pt idx="6">
                  <c:v>Toys</c:v>
                </c:pt>
              </c:strCache>
            </c:strRef>
          </c:cat>
          <c:val>
            <c:numRef>
              <c:f>'Overall Discount Comparison'!$G$6:$G$13</c:f>
              <c:numCache>
                <c:formatCode>General</c:formatCode>
                <c:ptCount val="7"/>
                <c:pt idx="0">
                  <c:v>8.2100000000000009</c:v>
                </c:pt>
                <c:pt idx="1">
                  <c:v>8.11</c:v>
                </c:pt>
                <c:pt idx="2">
                  <c:v>6.83</c:v>
                </c:pt>
                <c:pt idx="3">
                  <c:v>5.15</c:v>
                </c:pt>
                <c:pt idx="4">
                  <c:v>5.93</c:v>
                </c:pt>
                <c:pt idx="5">
                  <c:v>5.17</c:v>
                </c:pt>
                <c:pt idx="6">
                  <c:v>7.02</c:v>
                </c:pt>
              </c:numCache>
            </c:numRef>
          </c:val>
          <c:smooth val="0"/>
          <c:extLst>
            <c:ext xmlns:c16="http://schemas.microsoft.com/office/drawing/2014/chart" uri="{C3380CC4-5D6E-409C-BE32-E72D297353CC}">
              <c16:uniqueId val="{00000000-95AC-4894-8269-8DD2A142F564}"/>
            </c:ext>
          </c:extLst>
        </c:ser>
        <c:ser>
          <c:idx val="1"/>
          <c:order val="1"/>
          <c:tx>
            <c:strRef>
              <c:f>'Overall Discount Comparison'!$H$5</c:f>
              <c:strCache>
                <c:ptCount val="1"/>
                <c:pt idx="0">
                  <c:v>Units sold</c:v>
                </c:pt>
              </c:strCache>
            </c:strRef>
          </c:tx>
          <c:spPr>
            <a:ln w="28575" cap="rnd">
              <a:solidFill>
                <a:schemeClr val="accent2"/>
              </a:solidFill>
              <a:round/>
            </a:ln>
            <a:effectLst/>
          </c:spPr>
          <c:marker>
            <c:symbol val="none"/>
          </c:marker>
          <c:cat>
            <c:strRef>
              <c:f>'Overall Discount Comparison'!$F$6:$F$13</c:f>
              <c:strCache>
                <c:ptCount val="7"/>
                <c:pt idx="0">
                  <c:v>Beauty</c:v>
                </c:pt>
                <c:pt idx="1">
                  <c:v>Books</c:v>
                </c:pt>
                <c:pt idx="2">
                  <c:v>Clothing</c:v>
                </c:pt>
                <c:pt idx="3">
                  <c:v>Electronics</c:v>
                </c:pt>
                <c:pt idx="4">
                  <c:v>Home &amp; Kitchen</c:v>
                </c:pt>
                <c:pt idx="5">
                  <c:v>Sports</c:v>
                </c:pt>
                <c:pt idx="6">
                  <c:v>Toys</c:v>
                </c:pt>
              </c:strCache>
            </c:strRef>
          </c:cat>
          <c:val>
            <c:numRef>
              <c:f>'Overall Discount Comparison'!$H$6:$H$13</c:f>
              <c:numCache>
                <c:formatCode>General</c:formatCode>
                <c:ptCount val="7"/>
                <c:pt idx="0">
                  <c:v>145</c:v>
                </c:pt>
                <c:pt idx="1">
                  <c:v>135</c:v>
                </c:pt>
                <c:pt idx="2">
                  <c:v>148</c:v>
                </c:pt>
                <c:pt idx="3">
                  <c:v>110</c:v>
                </c:pt>
                <c:pt idx="4">
                  <c:v>133</c:v>
                </c:pt>
                <c:pt idx="5">
                  <c:v>143</c:v>
                </c:pt>
                <c:pt idx="6">
                  <c:v>155</c:v>
                </c:pt>
              </c:numCache>
            </c:numRef>
          </c:val>
          <c:smooth val="0"/>
          <c:extLst>
            <c:ext xmlns:c16="http://schemas.microsoft.com/office/drawing/2014/chart" uri="{C3380CC4-5D6E-409C-BE32-E72D297353CC}">
              <c16:uniqueId val="{00000001-95AC-4894-8269-8DD2A142F564}"/>
            </c:ext>
          </c:extLst>
        </c:ser>
        <c:dLbls>
          <c:showLegendKey val="0"/>
          <c:showVal val="0"/>
          <c:showCatName val="0"/>
          <c:showSerName val="0"/>
          <c:showPercent val="0"/>
          <c:showBubbleSize val="0"/>
        </c:dLbls>
        <c:marker val="1"/>
        <c:smooth val="0"/>
        <c:axId val="135934911"/>
        <c:axId val="1825430431"/>
      </c:lineChart>
      <c:catAx>
        <c:axId val="1359349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825430431"/>
        <c:crosses val="autoZero"/>
        <c:auto val="1"/>
        <c:lblAlgn val="ctr"/>
        <c:lblOffset val="100"/>
        <c:noMultiLvlLbl val="0"/>
      </c:catAx>
      <c:valAx>
        <c:axId val="182543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5934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analysis.xlsx]Region - wise Total sales!PivotTable6</c:name>
    <c:fmtId val="0"/>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800" b="1" i="1">
                <a:solidFill>
                  <a:schemeClr val="tx2"/>
                </a:solidFill>
              </a:rPr>
              <a:t>Region - wise Total sales</a:t>
            </a:r>
          </a:p>
        </c:rich>
      </c:tx>
      <c:overlay val="0"/>
      <c:spPr>
        <a:solidFill>
          <a:schemeClr val="accent3">
            <a:lumMod val="20000"/>
            <a:lumOff val="80000"/>
          </a:schemeClr>
        </a:solid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 wise Total sales'!$D$5</c:f>
              <c:strCache>
                <c:ptCount val="1"/>
                <c:pt idx="0">
                  <c:v>Total</c:v>
                </c:pt>
              </c:strCache>
            </c:strRef>
          </c:tx>
          <c:spPr>
            <a:solidFill>
              <a:schemeClr val="accent2"/>
            </a:solidFill>
            <a:ln>
              <a:noFill/>
            </a:ln>
            <a:effectLst/>
          </c:spPr>
          <c:invertIfNegative val="0"/>
          <c:cat>
            <c:strRef>
              <c:f>'Region - wise Total sales'!$C$6:$C$11</c:f>
              <c:strCache>
                <c:ptCount val="5"/>
                <c:pt idx="0">
                  <c:v>Central</c:v>
                </c:pt>
                <c:pt idx="1">
                  <c:v>East</c:v>
                </c:pt>
                <c:pt idx="2">
                  <c:v>North</c:v>
                </c:pt>
                <c:pt idx="3">
                  <c:v>South</c:v>
                </c:pt>
                <c:pt idx="4">
                  <c:v>West</c:v>
                </c:pt>
              </c:strCache>
            </c:strRef>
          </c:cat>
          <c:val>
            <c:numRef>
              <c:f>'Region - wise Total sales'!$D$6:$D$11</c:f>
              <c:numCache>
                <c:formatCode>"₹"\ #,##0</c:formatCode>
                <c:ptCount val="5"/>
                <c:pt idx="0">
                  <c:v>55412.540414489813</c:v>
                </c:pt>
                <c:pt idx="1">
                  <c:v>42087.483587957373</c:v>
                </c:pt>
                <c:pt idx="2">
                  <c:v>39522.573511854978</c:v>
                </c:pt>
                <c:pt idx="3">
                  <c:v>32752.775254680815</c:v>
                </c:pt>
                <c:pt idx="4">
                  <c:v>33874.966831660218</c:v>
                </c:pt>
              </c:numCache>
            </c:numRef>
          </c:val>
          <c:extLst>
            <c:ext xmlns:c16="http://schemas.microsoft.com/office/drawing/2014/chart" uri="{C3380CC4-5D6E-409C-BE32-E72D297353CC}">
              <c16:uniqueId val="{00000000-F6AF-4194-9872-0D1D632850E3}"/>
            </c:ext>
          </c:extLst>
        </c:ser>
        <c:dLbls>
          <c:showLegendKey val="0"/>
          <c:showVal val="0"/>
          <c:showCatName val="0"/>
          <c:showSerName val="0"/>
          <c:showPercent val="0"/>
          <c:showBubbleSize val="0"/>
        </c:dLbls>
        <c:gapWidth val="219"/>
        <c:overlap val="-27"/>
        <c:axId val="728567807"/>
        <c:axId val="728571167"/>
      </c:barChart>
      <c:catAx>
        <c:axId val="72856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728571167"/>
        <c:crosses val="autoZero"/>
        <c:auto val="1"/>
        <c:lblAlgn val="ctr"/>
        <c:lblOffset val="100"/>
        <c:noMultiLvlLbl val="0"/>
      </c:catAx>
      <c:valAx>
        <c:axId val="7285711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72856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analysis.xlsx]Annual Sales Comparison!PivotTable7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1" u="none" strike="noStrike" baseline="0">
                <a:solidFill>
                  <a:schemeClr val="tx2"/>
                </a:solidFill>
                <a:latin typeface="Aharoni" panose="02010803020104030203" pitchFamily="2" charset="-79"/>
                <a:cs typeface="Aharoni" panose="02010803020104030203" pitchFamily="2" charset="-79"/>
              </a:rPr>
              <a:t>Annual Sales Comparison</a:t>
            </a:r>
            <a:endParaRPr lang="en-IN" sz="1400" b="1" i="1">
              <a:solidFill>
                <a:schemeClr val="tx2"/>
              </a:solidFill>
              <a:latin typeface="Aharoni" panose="02010803020104030203" pitchFamily="2" charset="-79"/>
              <a:cs typeface="Aharoni" panose="02010803020104030203" pitchFamily="2" charset="-79"/>
            </a:endParaRPr>
          </a:p>
        </c:rich>
      </c:tx>
      <c:layout>
        <c:manualLayout>
          <c:xMode val="edge"/>
          <c:yMode val="edge"/>
          <c:x val="8.8506436695413068E-2"/>
          <c:y val="2.3350850761587078E-2"/>
        </c:manualLayout>
      </c:layout>
      <c:overlay val="0"/>
      <c:spPr>
        <a:solidFill>
          <a:schemeClr val="accent3">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938450875458748E-2"/>
          <c:y val="3.7037037037037035E-2"/>
          <c:w val="0.49475179238958766"/>
          <c:h val="0.8416746864975212"/>
        </c:manualLayout>
      </c:layout>
      <c:barChart>
        <c:barDir val="col"/>
        <c:grouping val="clustered"/>
        <c:varyColors val="0"/>
        <c:ser>
          <c:idx val="0"/>
          <c:order val="0"/>
          <c:tx>
            <c:strRef>
              <c:f>'Annual Sales Comparison'!$F$5</c:f>
              <c:strCache>
                <c:ptCount val="1"/>
                <c:pt idx="0">
                  <c:v>Discount</c:v>
                </c:pt>
              </c:strCache>
            </c:strRef>
          </c:tx>
          <c:spPr>
            <a:solidFill>
              <a:schemeClr val="accent1"/>
            </a:solidFill>
            <a:ln>
              <a:noFill/>
            </a:ln>
            <a:effectLst/>
          </c:spPr>
          <c:invertIfNegative val="0"/>
          <c:cat>
            <c:strRef>
              <c:f>'Annual Sales Comparison'!$E$6:$E$9</c:f>
              <c:strCache>
                <c:ptCount val="3"/>
                <c:pt idx="0">
                  <c:v>2023</c:v>
                </c:pt>
                <c:pt idx="1">
                  <c:v>2024</c:v>
                </c:pt>
                <c:pt idx="2">
                  <c:v>2025</c:v>
                </c:pt>
              </c:strCache>
            </c:strRef>
          </c:cat>
          <c:val>
            <c:numRef>
              <c:f>'Annual Sales Comparison'!$F$6:$F$9</c:f>
              <c:numCache>
                <c:formatCode>"₹"\ #,##0</c:formatCode>
                <c:ptCount val="3"/>
                <c:pt idx="0">
                  <c:v>23.48</c:v>
                </c:pt>
                <c:pt idx="1">
                  <c:v>15.81</c:v>
                </c:pt>
                <c:pt idx="2">
                  <c:v>7.13</c:v>
                </c:pt>
              </c:numCache>
            </c:numRef>
          </c:val>
          <c:extLst>
            <c:ext xmlns:c16="http://schemas.microsoft.com/office/drawing/2014/chart" uri="{C3380CC4-5D6E-409C-BE32-E72D297353CC}">
              <c16:uniqueId val="{00000000-7915-4B06-B0D0-FAC7C058A1A6}"/>
            </c:ext>
          </c:extLst>
        </c:ser>
        <c:ser>
          <c:idx val="1"/>
          <c:order val="1"/>
          <c:tx>
            <c:strRef>
              <c:f>'Annual Sales Comparison'!$G$5</c:f>
              <c:strCache>
                <c:ptCount val="1"/>
                <c:pt idx="0">
                  <c:v>Quantity sold</c:v>
                </c:pt>
              </c:strCache>
            </c:strRef>
          </c:tx>
          <c:spPr>
            <a:solidFill>
              <a:schemeClr val="accent2"/>
            </a:solidFill>
            <a:ln>
              <a:noFill/>
            </a:ln>
            <a:effectLst/>
          </c:spPr>
          <c:invertIfNegative val="0"/>
          <c:cat>
            <c:strRef>
              <c:f>'Annual Sales Comparison'!$E$6:$E$9</c:f>
              <c:strCache>
                <c:ptCount val="3"/>
                <c:pt idx="0">
                  <c:v>2023</c:v>
                </c:pt>
                <c:pt idx="1">
                  <c:v>2024</c:v>
                </c:pt>
                <c:pt idx="2">
                  <c:v>2025</c:v>
                </c:pt>
              </c:strCache>
            </c:strRef>
          </c:cat>
          <c:val>
            <c:numRef>
              <c:f>'Annual Sales Comparison'!$G$6:$G$9</c:f>
              <c:numCache>
                <c:formatCode>0</c:formatCode>
                <c:ptCount val="3"/>
                <c:pt idx="0">
                  <c:v>518</c:v>
                </c:pt>
                <c:pt idx="1">
                  <c:v>301</c:v>
                </c:pt>
                <c:pt idx="2">
                  <c:v>150</c:v>
                </c:pt>
              </c:numCache>
            </c:numRef>
          </c:val>
          <c:extLst>
            <c:ext xmlns:c16="http://schemas.microsoft.com/office/drawing/2014/chart" uri="{C3380CC4-5D6E-409C-BE32-E72D297353CC}">
              <c16:uniqueId val="{00000001-7915-4B06-B0D0-FAC7C058A1A6}"/>
            </c:ext>
          </c:extLst>
        </c:ser>
        <c:dLbls>
          <c:showLegendKey val="0"/>
          <c:showVal val="0"/>
          <c:showCatName val="0"/>
          <c:showSerName val="0"/>
          <c:showPercent val="0"/>
          <c:showBubbleSize val="0"/>
        </c:dLbls>
        <c:gapWidth val="150"/>
        <c:axId val="744235135"/>
        <c:axId val="744237535"/>
      </c:barChart>
      <c:lineChart>
        <c:grouping val="standard"/>
        <c:varyColors val="0"/>
        <c:ser>
          <c:idx val="2"/>
          <c:order val="2"/>
          <c:tx>
            <c:strRef>
              <c:f>'Annual Sales Comparison'!$H$5</c:f>
              <c:strCache>
                <c:ptCount val="1"/>
                <c:pt idx="0">
                  <c:v>Total Sales</c:v>
                </c:pt>
              </c:strCache>
            </c:strRef>
          </c:tx>
          <c:spPr>
            <a:ln w="28575" cap="rnd">
              <a:solidFill>
                <a:schemeClr val="accent3"/>
              </a:solidFill>
              <a:round/>
            </a:ln>
            <a:effectLst/>
          </c:spPr>
          <c:marker>
            <c:symbol val="none"/>
          </c:marker>
          <c:cat>
            <c:strRef>
              <c:f>'Annual Sales Comparison'!$E$6:$E$9</c:f>
              <c:strCache>
                <c:ptCount val="3"/>
                <c:pt idx="0">
                  <c:v>2023</c:v>
                </c:pt>
                <c:pt idx="1">
                  <c:v>2024</c:v>
                </c:pt>
                <c:pt idx="2">
                  <c:v>2025</c:v>
                </c:pt>
              </c:strCache>
            </c:strRef>
          </c:cat>
          <c:val>
            <c:numRef>
              <c:f>'Annual Sales Comparison'!$H$6:$H$9</c:f>
              <c:numCache>
                <c:formatCode>"₹"\ #,##0</c:formatCode>
                <c:ptCount val="3"/>
                <c:pt idx="0">
                  <c:v>109145.23804894152</c:v>
                </c:pt>
                <c:pt idx="1">
                  <c:v>64872.210442149211</c:v>
                </c:pt>
                <c:pt idx="2">
                  <c:v>29632.891109552507</c:v>
                </c:pt>
              </c:numCache>
            </c:numRef>
          </c:val>
          <c:smooth val="0"/>
          <c:extLst>
            <c:ext xmlns:c16="http://schemas.microsoft.com/office/drawing/2014/chart" uri="{C3380CC4-5D6E-409C-BE32-E72D297353CC}">
              <c16:uniqueId val="{00000002-7915-4B06-B0D0-FAC7C058A1A6}"/>
            </c:ext>
          </c:extLst>
        </c:ser>
        <c:dLbls>
          <c:showLegendKey val="0"/>
          <c:showVal val="0"/>
          <c:showCatName val="0"/>
          <c:showSerName val="0"/>
          <c:showPercent val="0"/>
          <c:showBubbleSize val="0"/>
        </c:dLbls>
        <c:marker val="1"/>
        <c:smooth val="0"/>
        <c:axId val="744236575"/>
        <c:axId val="744234655"/>
      </c:lineChart>
      <c:catAx>
        <c:axId val="74423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4237535"/>
        <c:crosses val="autoZero"/>
        <c:auto val="1"/>
        <c:lblAlgn val="ctr"/>
        <c:lblOffset val="100"/>
        <c:noMultiLvlLbl val="0"/>
      </c:catAx>
      <c:valAx>
        <c:axId val="7442375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4235135"/>
        <c:crosses val="autoZero"/>
        <c:crossBetween val="between"/>
      </c:valAx>
      <c:valAx>
        <c:axId val="744234655"/>
        <c:scaling>
          <c:orientation val="minMax"/>
        </c:scaling>
        <c:delete val="0"/>
        <c:axPos val="r"/>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4236575"/>
        <c:crosses val="max"/>
        <c:crossBetween val="between"/>
      </c:valAx>
      <c:catAx>
        <c:axId val="744236575"/>
        <c:scaling>
          <c:orientation val="minMax"/>
        </c:scaling>
        <c:delete val="1"/>
        <c:axPos val="b"/>
        <c:numFmt formatCode="General" sourceLinked="1"/>
        <c:majorTickMark val="none"/>
        <c:minorTickMark val="none"/>
        <c:tickLblPos val="nextTo"/>
        <c:crossAx val="74423465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analysis.xlsx]Total Sales - Category wise!PivotTable1</c:name>
    <c:fmtId val="5"/>
  </c:pivotSource>
  <c:chart>
    <c:title>
      <c:tx>
        <c:rich>
          <a:bodyPr rot="0" spcFirstLastPara="1" vertOverflow="ellipsis" vert="horz" wrap="square" anchor="ctr" anchorCtr="1"/>
          <a:lstStyle/>
          <a:p>
            <a:pPr>
              <a:defRPr sz="1600" b="1" i="1" u="none" strike="noStrike" kern="1200" spc="0" baseline="0">
                <a:solidFill>
                  <a:schemeClr val="accent1">
                    <a:lumMod val="50000"/>
                  </a:schemeClr>
                </a:solidFill>
                <a:latin typeface="Aharoni" panose="02010803020104030203" pitchFamily="2" charset="-79"/>
                <a:ea typeface="+mn-ea"/>
                <a:cs typeface="Aharoni" panose="02010803020104030203" pitchFamily="2" charset="-79"/>
              </a:defRPr>
            </a:pPr>
            <a:r>
              <a:rPr lang="en-IN" sz="1600" b="1" i="1">
                <a:solidFill>
                  <a:schemeClr val="accent1">
                    <a:lumMod val="50000"/>
                  </a:schemeClr>
                </a:solidFill>
                <a:latin typeface="Aharoni" panose="02010803020104030203" pitchFamily="2" charset="-79"/>
                <a:cs typeface="Aharoni" panose="02010803020104030203" pitchFamily="2" charset="-79"/>
              </a:rPr>
              <a:t>Total Sales - Category wise</a:t>
            </a:r>
          </a:p>
        </c:rich>
      </c:tx>
      <c:layout>
        <c:manualLayout>
          <c:xMode val="edge"/>
          <c:yMode val="edge"/>
          <c:x val="0.23609743049634718"/>
          <c:y val="3.300337457817773E-2"/>
        </c:manualLayout>
      </c:layout>
      <c:overlay val="0"/>
      <c:spPr>
        <a:solidFill>
          <a:schemeClr val="accent3">
            <a:lumMod val="20000"/>
            <a:lumOff val="80000"/>
          </a:schemeClr>
        </a:solidFill>
        <a:ln>
          <a:noFill/>
        </a:ln>
        <a:effectLst/>
      </c:spPr>
      <c:txPr>
        <a:bodyPr rot="0" spcFirstLastPara="1" vertOverflow="ellipsis" vert="horz" wrap="square" anchor="ctr" anchorCtr="1"/>
        <a:lstStyle/>
        <a:p>
          <a:pPr>
            <a:defRPr sz="1600" b="1" i="1" u="none" strike="noStrike" kern="1200" spc="0" baseline="0">
              <a:solidFill>
                <a:schemeClr val="accent1">
                  <a:lumMod val="50000"/>
                </a:schemeClr>
              </a:solidFill>
              <a:latin typeface="Aharoni" panose="02010803020104030203" pitchFamily="2" charset="-79"/>
              <a:ea typeface="+mn-ea"/>
              <a:cs typeface="Aharoni" panose="02010803020104030203" pitchFamily="2" charset="-79"/>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'Total Sales - Category wise'!$F$5</c:f>
              <c:strCache>
                <c:ptCount val="1"/>
                <c:pt idx="0">
                  <c:v>Total amount</c:v>
                </c:pt>
              </c:strCache>
            </c:strRef>
          </c:tx>
          <c:spPr>
            <a:solidFill>
              <a:schemeClr val="accent2"/>
            </a:solidFill>
            <a:ln>
              <a:noFill/>
            </a:ln>
            <a:effectLst/>
          </c:spPr>
          <c:invertIfNegative val="0"/>
          <c:cat>
            <c:strRef>
              <c:f>'Total Sales - Category wise'!$D$6:$D$13</c:f>
              <c:strCache>
                <c:ptCount val="7"/>
                <c:pt idx="0">
                  <c:v>Beauty</c:v>
                </c:pt>
                <c:pt idx="1">
                  <c:v>Books</c:v>
                </c:pt>
                <c:pt idx="2">
                  <c:v>Clothing</c:v>
                </c:pt>
                <c:pt idx="3">
                  <c:v>Electronics</c:v>
                </c:pt>
                <c:pt idx="4">
                  <c:v>Home &amp; Kitchen</c:v>
                </c:pt>
                <c:pt idx="5">
                  <c:v>Sports</c:v>
                </c:pt>
                <c:pt idx="6">
                  <c:v>Toys</c:v>
                </c:pt>
              </c:strCache>
            </c:strRef>
          </c:cat>
          <c:val>
            <c:numRef>
              <c:f>'Total Sales - Category wise'!$F$6:$F$13</c:f>
              <c:numCache>
                <c:formatCode>"₹"\ #,##0.00</c:formatCode>
                <c:ptCount val="7"/>
                <c:pt idx="0">
                  <c:v>26394.72016030968</c:v>
                </c:pt>
                <c:pt idx="1">
                  <c:v>29122.527152770414</c:v>
                </c:pt>
                <c:pt idx="2">
                  <c:v>32424.544658288822</c:v>
                </c:pt>
                <c:pt idx="3">
                  <c:v>23819.068275210841</c:v>
                </c:pt>
                <c:pt idx="4">
                  <c:v>31879.363639410141</c:v>
                </c:pt>
                <c:pt idx="5">
                  <c:v>26405.463473223961</c:v>
                </c:pt>
                <c:pt idx="6">
                  <c:v>33604.652241429387</c:v>
                </c:pt>
              </c:numCache>
            </c:numRef>
          </c:val>
          <c:extLst>
            <c:ext xmlns:c16="http://schemas.microsoft.com/office/drawing/2014/chart" uri="{C3380CC4-5D6E-409C-BE32-E72D297353CC}">
              <c16:uniqueId val="{00000000-3E23-441B-A392-CEEF84E6C749}"/>
            </c:ext>
          </c:extLst>
        </c:ser>
        <c:dLbls>
          <c:showLegendKey val="0"/>
          <c:showVal val="0"/>
          <c:showCatName val="0"/>
          <c:showSerName val="0"/>
          <c:showPercent val="0"/>
          <c:showBubbleSize val="0"/>
        </c:dLbls>
        <c:gapWidth val="219"/>
        <c:axId val="1089470543"/>
        <c:axId val="1089471023"/>
      </c:barChart>
      <c:lineChart>
        <c:grouping val="standard"/>
        <c:varyColors val="0"/>
        <c:ser>
          <c:idx val="0"/>
          <c:order val="0"/>
          <c:tx>
            <c:strRef>
              <c:f>'Total Sales - Category wise'!$E$5</c:f>
              <c:strCache>
                <c:ptCount val="1"/>
                <c:pt idx="0">
                  <c:v>Units sold</c:v>
                </c:pt>
              </c:strCache>
            </c:strRef>
          </c:tx>
          <c:spPr>
            <a:ln w="28575" cap="rnd">
              <a:solidFill>
                <a:schemeClr val="accent1"/>
              </a:solidFill>
              <a:round/>
            </a:ln>
            <a:effectLst/>
          </c:spPr>
          <c:marker>
            <c:symbol val="none"/>
          </c:marker>
          <c:cat>
            <c:strRef>
              <c:f>'Total Sales - Category wise'!$D$6:$D$13</c:f>
              <c:strCache>
                <c:ptCount val="7"/>
                <c:pt idx="0">
                  <c:v>Beauty</c:v>
                </c:pt>
                <c:pt idx="1">
                  <c:v>Books</c:v>
                </c:pt>
                <c:pt idx="2">
                  <c:v>Clothing</c:v>
                </c:pt>
                <c:pt idx="3">
                  <c:v>Electronics</c:v>
                </c:pt>
                <c:pt idx="4">
                  <c:v>Home &amp; Kitchen</c:v>
                </c:pt>
                <c:pt idx="5">
                  <c:v>Sports</c:v>
                </c:pt>
                <c:pt idx="6">
                  <c:v>Toys</c:v>
                </c:pt>
              </c:strCache>
            </c:strRef>
          </c:cat>
          <c:val>
            <c:numRef>
              <c:f>'Total Sales - Category wise'!$E$6:$E$13</c:f>
              <c:numCache>
                <c:formatCode>0.00</c:formatCode>
                <c:ptCount val="7"/>
                <c:pt idx="0">
                  <c:v>145</c:v>
                </c:pt>
                <c:pt idx="1">
                  <c:v>135</c:v>
                </c:pt>
                <c:pt idx="2">
                  <c:v>148</c:v>
                </c:pt>
                <c:pt idx="3">
                  <c:v>110</c:v>
                </c:pt>
                <c:pt idx="4">
                  <c:v>133</c:v>
                </c:pt>
                <c:pt idx="5">
                  <c:v>143</c:v>
                </c:pt>
                <c:pt idx="6">
                  <c:v>155</c:v>
                </c:pt>
              </c:numCache>
            </c:numRef>
          </c:val>
          <c:smooth val="0"/>
          <c:extLst>
            <c:ext xmlns:c16="http://schemas.microsoft.com/office/drawing/2014/chart" uri="{C3380CC4-5D6E-409C-BE32-E72D297353CC}">
              <c16:uniqueId val="{00000001-3E23-441B-A392-CEEF84E6C749}"/>
            </c:ext>
          </c:extLst>
        </c:ser>
        <c:dLbls>
          <c:showLegendKey val="0"/>
          <c:showVal val="0"/>
          <c:showCatName val="0"/>
          <c:showSerName val="0"/>
          <c:showPercent val="0"/>
          <c:showBubbleSize val="0"/>
        </c:dLbls>
        <c:marker val="1"/>
        <c:smooth val="0"/>
        <c:axId val="1089473423"/>
        <c:axId val="1089469583"/>
      </c:lineChart>
      <c:catAx>
        <c:axId val="108947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89471023"/>
        <c:crosses val="autoZero"/>
        <c:auto val="1"/>
        <c:lblAlgn val="ctr"/>
        <c:lblOffset val="100"/>
        <c:noMultiLvlLbl val="0"/>
      </c:catAx>
      <c:valAx>
        <c:axId val="1089471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89470543"/>
        <c:crosses val="autoZero"/>
        <c:crossBetween val="between"/>
      </c:valAx>
      <c:valAx>
        <c:axId val="108946958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89473423"/>
        <c:crosses val="max"/>
        <c:crossBetween val="between"/>
      </c:valAx>
      <c:catAx>
        <c:axId val="1089473423"/>
        <c:scaling>
          <c:orientation val="minMax"/>
        </c:scaling>
        <c:delete val="1"/>
        <c:axPos val="b"/>
        <c:numFmt formatCode="General" sourceLinked="1"/>
        <c:majorTickMark val="out"/>
        <c:minorTickMark val="none"/>
        <c:tickLblPos val="nextTo"/>
        <c:crossAx val="108946958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analysis.xlsx]Payment method Review!PivotTable2</c:name>
    <c:fmtId val="4"/>
  </c:pivotSource>
  <c:chart>
    <c:title>
      <c:tx>
        <c:rich>
          <a:bodyPr rot="0" spcFirstLastPara="1" vertOverflow="ellipsis" vert="horz" wrap="square" anchor="ctr" anchorCtr="1"/>
          <a:lstStyle/>
          <a:p>
            <a:pPr algn="ctr" rtl="0">
              <a:defRPr lang="en-US" sz="1600" b="1" i="1" u="none" strike="noStrike" kern="1200" spc="0" baseline="0">
                <a:solidFill>
                  <a:schemeClr val="accent1">
                    <a:lumMod val="50000"/>
                  </a:schemeClr>
                </a:solidFill>
                <a:latin typeface="Aharoni" panose="02010803020104030203" pitchFamily="2" charset="-79"/>
                <a:ea typeface="+mn-ea"/>
                <a:cs typeface="Aharoni" panose="02010803020104030203" pitchFamily="2" charset="-79"/>
              </a:defRPr>
            </a:pPr>
            <a:r>
              <a:rPr lang="en-US" sz="1600" b="1" i="1" u="none" strike="noStrike" kern="1200" spc="0" baseline="0">
                <a:solidFill>
                  <a:schemeClr val="accent1">
                    <a:lumMod val="50000"/>
                  </a:schemeClr>
                </a:solidFill>
                <a:latin typeface="Aharoni" panose="02010803020104030203" pitchFamily="2" charset="-79"/>
                <a:ea typeface="+mn-ea"/>
                <a:cs typeface="Aharoni" panose="02010803020104030203" pitchFamily="2" charset="-79"/>
              </a:rPr>
              <a:t>Payment method Review</a:t>
            </a:r>
          </a:p>
        </c:rich>
      </c:tx>
      <c:layout>
        <c:manualLayout>
          <c:xMode val="edge"/>
          <c:yMode val="edge"/>
          <c:x val="0.20509615384615384"/>
          <c:y val="2.7491408934707903E-2"/>
        </c:manualLayout>
      </c:layout>
      <c:overlay val="0"/>
      <c:spPr>
        <a:solidFill>
          <a:schemeClr val="accent3">
            <a:lumMod val="20000"/>
            <a:lumOff val="80000"/>
          </a:schemeClr>
        </a:solidFill>
        <a:ln>
          <a:noFill/>
        </a:ln>
        <a:effectLst/>
      </c:spPr>
      <c:txPr>
        <a:bodyPr rot="0" spcFirstLastPara="1" vertOverflow="ellipsis" vert="horz" wrap="square" anchor="ctr" anchorCtr="1"/>
        <a:lstStyle/>
        <a:p>
          <a:pPr algn="ctr" rtl="0">
            <a:defRPr lang="en-US" sz="1600" b="1" i="1" u="none" strike="noStrike" kern="1200" spc="0" baseline="0">
              <a:solidFill>
                <a:schemeClr val="accent1">
                  <a:lumMod val="50000"/>
                </a:schemeClr>
              </a:solidFill>
              <a:latin typeface="Aharoni" panose="02010803020104030203" pitchFamily="2" charset="-79"/>
              <a:ea typeface="+mn-ea"/>
              <a:cs typeface="Aharoni" panose="02010803020104030203" pitchFamily="2" charset="-79"/>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1259059227185643"/>
              <c:y val="8.91007662790288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133734995454331"/>
                  <c:h val="0.19871778322791619"/>
                </c:manualLayout>
              </c15:layout>
            </c:ext>
          </c:extLst>
        </c:dLbl>
      </c:pivotFmt>
      <c:pivotFmt>
        <c:idx val="2"/>
        <c:spPr>
          <a:solidFill>
            <a:schemeClr val="accent1"/>
          </a:solidFill>
          <a:ln w="19050">
            <a:solidFill>
              <a:schemeClr val="lt1"/>
            </a:solidFill>
          </a:ln>
          <a:effectLst/>
        </c:spPr>
        <c:dLbl>
          <c:idx val="0"/>
          <c:layout>
            <c:manualLayout>
              <c:x val="2.9941291585127202E-2"/>
              <c:y val="-5.11889255273791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770404127566246"/>
              <c:y val="-8.00912181059334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3.2956197256164894E-2"/>
              <c:y val="-0.208863254984334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9.3279221946571747E-2"/>
              <c:y val="1.675663306617224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6273582240576083E-2"/>
                  <c:h val="0.13749447488959557"/>
                </c:manualLayout>
              </c15:layout>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1259059227185643"/>
              <c:y val="8.91007662790288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133734995454331"/>
                  <c:h val="0.19871778322791619"/>
                </c:manualLayout>
              </c15:layout>
            </c:ext>
          </c:extLst>
        </c:dLbl>
      </c:pivotFmt>
      <c:pivotFmt>
        <c:idx val="8"/>
        <c:spPr>
          <a:solidFill>
            <a:schemeClr val="accent1"/>
          </a:solidFill>
          <a:ln w="19050">
            <a:solidFill>
              <a:schemeClr val="lt1"/>
            </a:solidFill>
          </a:ln>
          <a:effectLst/>
        </c:spPr>
        <c:dLbl>
          <c:idx val="0"/>
          <c:layout>
            <c:manualLayout>
              <c:x val="2.9941291585127202E-2"/>
              <c:y val="-5.11889255273791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770404127566246"/>
              <c:y val="-8.00912181059334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3.2956197256164894E-2"/>
              <c:y val="-0.208863254984334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9.3279221946571747E-2"/>
              <c:y val="1.675663306617224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6273582240576083E-2"/>
                  <c:h val="0.13749447488959557"/>
                </c:manualLayout>
              </c15:layout>
            </c:ext>
          </c:extLst>
        </c:dLbl>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1259059227185643"/>
              <c:y val="8.91007662790288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133734995454331"/>
                  <c:h val="0.19871778322791619"/>
                </c:manualLayout>
              </c15:layout>
            </c:ext>
          </c:extLst>
        </c:dLbl>
      </c:pivotFmt>
      <c:pivotFmt>
        <c:idx val="14"/>
        <c:spPr>
          <a:solidFill>
            <a:schemeClr val="accent1"/>
          </a:solidFill>
          <a:ln w="19050">
            <a:solidFill>
              <a:schemeClr val="lt1"/>
            </a:solidFill>
          </a:ln>
          <a:effectLst/>
        </c:spPr>
        <c:dLbl>
          <c:idx val="0"/>
          <c:layout>
            <c:manualLayout>
              <c:x val="2.9941291585127202E-2"/>
              <c:y val="-5.11889255273791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770404127566246"/>
              <c:y val="-8.00912181059334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3.2956197256164894E-2"/>
              <c:y val="-0.208863254984334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9.3279221946571747E-2"/>
              <c:y val="1.675663306617224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6273582240576083E-2"/>
                  <c:h val="0.13749447488959557"/>
                </c:manualLayout>
              </c15:layout>
            </c:ext>
          </c:extLst>
        </c:dLbl>
      </c:pivotFmt>
    </c:pivotFmts>
    <c:plotArea>
      <c:layout/>
      <c:pieChart>
        <c:varyColors val="1"/>
        <c:ser>
          <c:idx val="0"/>
          <c:order val="0"/>
          <c:tx>
            <c:strRef>
              <c:f>'Payment method Review'!$F$5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0B-49B1-B1B2-414D5BC411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0B-49B1-B1B2-414D5BC411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0B-49B1-B1B2-414D5BC4112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C0B-49B1-B1B2-414D5BC4112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C0B-49B1-B1B2-414D5BC4112A}"/>
              </c:ext>
            </c:extLst>
          </c:dPt>
          <c:dLbls>
            <c:dLbl>
              <c:idx val="0"/>
              <c:layout>
                <c:manualLayout>
                  <c:x val="0.11259059227185643"/>
                  <c:y val="8.9100766279028812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8133734995454331"/>
                      <c:h val="0.19871778322791619"/>
                    </c:manualLayout>
                  </c15:layout>
                </c:ext>
                <c:ext xmlns:c16="http://schemas.microsoft.com/office/drawing/2014/chart" uri="{C3380CC4-5D6E-409C-BE32-E72D297353CC}">
                  <c16:uniqueId val="{00000001-5C0B-49B1-B1B2-414D5BC4112A}"/>
                </c:ext>
              </c:extLst>
            </c:dLbl>
            <c:dLbl>
              <c:idx val="1"/>
              <c:layout>
                <c:manualLayout>
                  <c:x val="2.9941291585127202E-2"/>
                  <c:y val="-5.118892552737912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C0B-49B1-B1B2-414D5BC4112A}"/>
                </c:ext>
              </c:extLst>
            </c:dLbl>
            <c:dLbl>
              <c:idx val="2"/>
              <c:layout>
                <c:manualLayout>
                  <c:x val="-0.1770404127566246"/>
                  <c:y val="-8.009121810593347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C0B-49B1-B1B2-414D5BC4112A}"/>
                </c:ext>
              </c:extLst>
            </c:dLbl>
            <c:dLbl>
              <c:idx val="3"/>
              <c:layout>
                <c:manualLayout>
                  <c:x val="-3.2956197256164894E-2"/>
                  <c:y val="-0.2088632549843341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C0B-49B1-B1B2-414D5BC4112A}"/>
                </c:ext>
              </c:extLst>
            </c:dLbl>
            <c:dLbl>
              <c:idx val="4"/>
              <c:layout>
                <c:manualLayout>
                  <c:x val="-9.3279221946571747E-2"/>
                  <c:y val="1.6756633066172241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9.6273582240576083E-2"/>
                      <c:h val="0.13749447488959557"/>
                    </c:manualLayout>
                  </c15:layout>
                </c:ext>
                <c:ext xmlns:c16="http://schemas.microsoft.com/office/drawing/2014/chart" uri="{C3380CC4-5D6E-409C-BE32-E72D297353CC}">
                  <c16:uniqueId val="{00000009-5C0B-49B1-B1B2-414D5BC4112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 method Review'!$E$6:$E$11</c:f>
              <c:strCache>
                <c:ptCount val="5"/>
                <c:pt idx="0">
                  <c:v>Cash on Delivery</c:v>
                </c:pt>
                <c:pt idx="1">
                  <c:v>Credit Card</c:v>
                </c:pt>
                <c:pt idx="2">
                  <c:v>Debit Card</c:v>
                </c:pt>
                <c:pt idx="3">
                  <c:v>Net Banking</c:v>
                </c:pt>
                <c:pt idx="4">
                  <c:v>UPI</c:v>
                </c:pt>
              </c:strCache>
            </c:strRef>
          </c:cat>
          <c:val>
            <c:numRef>
              <c:f>'Payment method Review'!$F$6:$F$11</c:f>
              <c:numCache>
                <c:formatCode>"₹"\ #,##0.00</c:formatCode>
                <c:ptCount val="5"/>
                <c:pt idx="0">
                  <c:v>36525.4932422536</c:v>
                </c:pt>
                <c:pt idx="1">
                  <c:v>42220.631265466807</c:v>
                </c:pt>
                <c:pt idx="2">
                  <c:v>40115.80531607</c:v>
                </c:pt>
                <c:pt idx="3">
                  <c:v>39032.948435880389</c:v>
                </c:pt>
                <c:pt idx="4">
                  <c:v>45755.461340972419</c:v>
                </c:pt>
              </c:numCache>
            </c:numRef>
          </c:val>
          <c:extLst>
            <c:ext xmlns:c16="http://schemas.microsoft.com/office/drawing/2014/chart" uri="{C3380CC4-5D6E-409C-BE32-E72D297353CC}">
              <c16:uniqueId val="{0000000A-5C0B-49B1-B1B2-414D5BC4112A}"/>
            </c:ext>
          </c:extLst>
        </c:ser>
        <c:dLbls>
          <c:dLblPos val="bestFit"/>
          <c:showLegendKey val="0"/>
          <c:showVal val="1"/>
          <c:showCatName val="0"/>
          <c:showSerName val="0"/>
          <c:showPercent val="0"/>
          <c:showBubbleSize val="0"/>
          <c:showLeaderLines val="0"/>
        </c:dLbls>
        <c:firstSliceAng val="13"/>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analysis.xlsx]Overall Discount Comparison!PivotTable1</c:name>
    <c:fmtId val="7"/>
  </c:pivotSource>
  <c:chart>
    <c:title>
      <c:tx>
        <c:rich>
          <a:bodyPr rot="0" spcFirstLastPara="1" vertOverflow="ellipsis" vert="horz" wrap="square" anchor="ctr" anchorCtr="1"/>
          <a:lstStyle/>
          <a:p>
            <a:pPr algn="ctr" rtl="0">
              <a:defRPr lang="en-IN" sz="1600" b="1" i="1" u="none" strike="noStrike" kern="1200" spc="0" baseline="0">
                <a:solidFill>
                  <a:schemeClr val="accent1">
                    <a:lumMod val="50000"/>
                  </a:schemeClr>
                </a:solidFill>
                <a:latin typeface="Aharoni" panose="02010803020104030203" pitchFamily="2" charset="-79"/>
                <a:ea typeface="+mn-ea"/>
                <a:cs typeface="Aharoni" panose="02010803020104030203" pitchFamily="2" charset="-79"/>
              </a:defRPr>
            </a:pPr>
            <a:r>
              <a:rPr lang="en-IN" sz="1600" b="1" i="1" u="none" strike="noStrike" kern="1200" spc="0" baseline="0">
                <a:solidFill>
                  <a:schemeClr val="accent1">
                    <a:lumMod val="50000"/>
                  </a:schemeClr>
                </a:solidFill>
                <a:latin typeface="Aharoni" panose="02010803020104030203" pitchFamily="2" charset="-79"/>
                <a:ea typeface="+mn-ea"/>
                <a:cs typeface="Aharoni" panose="02010803020104030203" pitchFamily="2" charset="-79"/>
              </a:rPr>
              <a:t>Overall Discount Comparison</a:t>
            </a:r>
          </a:p>
        </c:rich>
      </c:tx>
      <c:layout>
        <c:manualLayout>
          <c:xMode val="edge"/>
          <c:yMode val="edge"/>
          <c:x val="0.20657098242466526"/>
          <c:y val="2.7777777777777776E-2"/>
        </c:manualLayout>
      </c:layout>
      <c:overlay val="0"/>
      <c:spPr>
        <a:solidFill>
          <a:schemeClr val="accent3">
            <a:lumMod val="20000"/>
            <a:lumOff val="80000"/>
          </a:schemeClr>
        </a:solidFill>
        <a:ln>
          <a:noFill/>
        </a:ln>
        <a:effectLst/>
      </c:spPr>
      <c:txPr>
        <a:bodyPr rot="0" spcFirstLastPara="1" vertOverflow="ellipsis" vert="horz" wrap="square" anchor="ctr" anchorCtr="1"/>
        <a:lstStyle/>
        <a:p>
          <a:pPr algn="ctr" rtl="0">
            <a:defRPr lang="en-IN" sz="1600" b="1" i="1" u="none" strike="noStrike" kern="1200" spc="0" baseline="0">
              <a:solidFill>
                <a:schemeClr val="accent1">
                  <a:lumMod val="50000"/>
                </a:schemeClr>
              </a:solidFill>
              <a:latin typeface="Aharoni" panose="02010803020104030203" pitchFamily="2" charset="-79"/>
              <a:ea typeface="+mn-ea"/>
              <a:cs typeface="Aharoni" panose="02010803020104030203" pitchFamily="2" charset="-79"/>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'Overall Discount Comparison'!$G$5</c:f>
              <c:strCache>
                <c:ptCount val="1"/>
                <c:pt idx="0">
                  <c:v>Discount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'Overall Discount Comparison'!$F$6:$F$13</c:f>
              <c:strCache>
                <c:ptCount val="7"/>
                <c:pt idx="0">
                  <c:v>Beauty</c:v>
                </c:pt>
                <c:pt idx="1">
                  <c:v>Books</c:v>
                </c:pt>
                <c:pt idx="2">
                  <c:v>Clothing</c:v>
                </c:pt>
                <c:pt idx="3">
                  <c:v>Electronics</c:v>
                </c:pt>
                <c:pt idx="4">
                  <c:v>Home &amp; Kitchen</c:v>
                </c:pt>
                <c:pt idx="5">
                  <c:v>Sports</c:v>
                </c:pt>
                <c:pt idx="6">
                  <c:v>Toys</c:v>
                </c:pt>
              </c:strCache>
            </c:strRef>
          </c:cat>
          <c:val>
            <c:numRef>
              <c:f>'Overall Discount Comparison'!$G$6:$G$13</c:f>
              <c:numCache>
                <c:formatCode>General</c:formatCode>
                <c:ptCount val="7"/>
                <c:pt idx="0">
                  <c:v>8.2100000000000009</c:v>
                </c:pt>
                <c:pt idx="1">
                  <c:v>8.11</c:v>
                </c:pt>
                <c:pt idx="2">
                  <c:v>6.83</c:v>
                </c:pt>
                <c:pt idx="3">
                  <c:v>5.15</c:v>
                </c:pt>
                <c:pt idx="4">
                  <c:v>5.93</c:v>
                </c:pt>
                <c:pt idx="5">
                  <c:v>5.17</c:v>
                </c:pt>
                <c:pt idx="6">
                  <c:v>7.02</c:v>
                </c:pt>
              </c:numCache>
            </c:numRef>
          </c:val>
          <c:smooth val="0"/>
          <c:extLst>
            <c:ext xmlns:c16="http://schemas.microsoft.com/office/drawing/2014/chart" uri="{C3380CC4-5D6E-409C-BE32-E72D297353CC}">
              <c16:uniqueId val="{00000000-78AF-4EAD-9DE5-449BCEFAC5F7}"/>
            </c:ext>
          </c:extLst>
        </c:ser>
        <c:ser>
          <c:idx val="1"/>
          <c:order val="1"/>
          <c:tx>
            <c:strRef>
              <c:f>'Overall Discount Comparison'!$H$5</c:f>
              <c:strCache>
                <c:ptCount val="1"/>
                <c:pt idx="0">
                  <c:v>Units sold</c:v>
                </c:pt>
              </c:strCache>
            </c:strRef>
          </c:tx>
          <c:spPr>
            <a:ln w="28575" cap="rnd">
              <a:solidFill>
                <a:schemeClr val="accent2"/>
              </a:solidFill>
              <a:round/>
            </a:ln>
            <a:effectLst/>
          </c:spPr>
          <c:marker>
            <c:symbol val="none"/>
          </c:marker>
          <c:cat>
            <c:strRef>
              <c:f>'Overall Discount Comparison'!$F$6:$F$13</c:f>
              <c:strCache>
                <c:ptCount val="7"/>
                <c:pt idx="0">
                  <c:v>Beauty</c:v>
                </c:pt>
                <c:pt idx="1">
                  <c:v>Books</c:v>
                </c:pt>
                <c:pt idx="2">
                  <c:v>Clothing</c:v>
                </c:pt>
                <c:pt idx="3">
                  <c:v>Electronics</c:v>
                </c:pt>
                <c:pt idx="4">
                  <c:v>Home &amp; Kitchen</c:v>
                </c:pt>
                <c:pt idx="5">
                  <c:v>Sports</c:v>
                </c:pt>
                <c:pt idx="6">
                  <c:v>Toys</c:v>
                </c:pt>
              </c:strCache>
            </c:strRef>
          </c:cat>
          <c:val>
            <c:numRef>
              <c:f>'Overall Discount Comparison'!$H$6:$H$13</c:f>
              <c:numCache>
                <c:formatCode>General</c:formatCode>
                <c:ptCount val="7"/>
                <c:pt idx="0">
                  <c:v>145</c:v>
                </c:pt>
                <c:pt idx="1">
                  <c:v>135</c:v>
                </c:pt>
                <c:pt idx="2">
                  <c:v>148</c:v>
                </c:pt>
                <c:pt idx="3">
                  <c:v>110</c:v>
                </c:pt>
                <c:pt idx="4">
                  <c:v>133</c:v>
                </c:pt>
                <c:pt idx="5">
                  <c:v>143</c:v>
                </c:pt>
                <c:pt idx="6">
                  <c:v>155</c:v>
                </c:pt>
              </c:numCache>
            </c:numRef>
          </c:val>
          <c:smooth val="0"/>
          <c:extLst>
            <c:ext xmlns:c16="http://schemas.microsoft.com/office/drawing/2014/chart" uri="{C3380CC4-5D6E-409C-BE32-E72D297353CC}">
              <c16:uniqueId val="{00000001-78AF-4EAD-9DE5-449BCEFAC5F7}"/>
            </c:ext>
          </c:extLst>
        </c:ser>
        <c:dLbls>
          <c:showLegendKey val="0"/>
          <c:showVal val="0"/>
          <c:showCatName val="0"/>
          <c:showSerName val="0"/>
          <c:showPercent val="0"/>
          <c:showBubbleSize val="0"/>
        </c:dLbls>
        <c:marker val="1"/>
        <c:smooth val="0"/>
        <c:axId val="135934911"/>
        <c:axId val="1825430431"/>
      </c:lineChart>
      <c:catAx>
        <c:axId val="1359349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25430431"/>
        <c:crosses val="autoZero"/>
        <c:auto val="1"/>
        <c:lblAlgn val="ctr"/>
        <c:lblOffset val="100"/>
        <c:noMultiLvlLbl val="0"/>
      </c:catAx>
      <c:valAx>
        <c:axId val="182543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5934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16000"/>
            <a:lumOff val="84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analysis.xlsx]Region - wise Total sales!PivotTable6</c:name>
    <c:fmtId val="2"/>
  </c:pivotSource>
  <c:chart>
    <c:title>
      <c:tx>
        <c:rich>
          <a:bodyPr rot="0" spcFirstLastPara="1" vertOverflow="ellipsis" vert="horz" wrap="square" anchor="ctr" anchorCtr="1"/>
          <a:lstStyle/>
          <a:p>
            <a:pPr>
              <a:defRPr lang="en-US" sz="1600" b="0" i="0" u="none" strike="noStrike" kern="1200" spc="0" baseline="0">
                <a:solidFill>
                  <a:schemeClr val="tx1"/>
                </a:solidFill>
                <a:latin typeface="Aharoni" panose="02010803020104030203" pitchFamily="2" charset="-79"/>
                <a:ea typeface="+mn-ea"/>
                <a:cs typeface="Aharoni" panose="02010803020104030203" pitchFamily="2" charset="-79"/>
              </a:defRPr>
            </a:pPr>
            <a:r>
              <a:rPr lang="en-US" sz="1600" b="1" i="1">
                <a:solidFill>
                  <a:schemeClr val="tx2"/>
                </a:solidFill>
                <a:latin typeface="Aharoni" panose="02010803020104030203" pitchFamily="2" charset="-79"/>
                <a:cs typeface="Aharoni" panose="02010803020104030203" pitchFamily="2" charset="-79"/>
              </a:rPr>
              <a:t>Region - wise Total sales</a:t>
            </a:r>
          </a:p>
        </c:rich>
      </c:tx>
      <c:overlay val="0"/>
      <c:spPr>
        <a:solidFill>
          <a:schemeClr val="accent3">
            <a:lumMod val="20000"/>
            <a:lumOff val="80000"/>
          </a:schemeClr>
        </a:solidFill>
        <a:ln>
          <a:noFill/>
        </a:ln>
        <a:effectLst/>
      </c:spPr>
      <c:txPr>
        <a:bodyPr rot="0" spcFirstLastPara="1" vertOverflow="ellipsis" vert="horz" wrap="square" anchor="ctr" anchorCtr="1"/>
        <a:lstStyle/>
        <a:p>
          <a:pPr>
            <a:defRPr lang="en-US" sz="1600" b="0" i="0" u="none" strike="noStrike" kern="1200" spc="0" baseline="0">
              <a:solidFill>
                <a:schemeClr val="tx1"/>
              </a:solidFill>
              <a:latin typeface="Aharoni" panose="02010803020104030203" pitchFamily="2" charset="-79"/>
              <a:ea typeface="+mn-ea"/>
              <a:cs typeface="Aharoni" panose="02010803020104030203" pitchFamily="2" charset="-79"/>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 wise Total sales'!$D$5</c:f>
              <c:strCache>
                <c:ptCount val="1"/>
                <c:pt idx="0">
                  <c:v>Total</c:v>
                </c:pt>
              </c:strCache>
            </c:strRef>
          </c:tx>
          <c:spPr>
            <a:solidFill>
              <a:schemeClr val="accent2"/>
            </a:solidFill>
            <a:ln>
              <a:noFill/>
            </a:ln>
            <a:effectLst/>
          </c:spPr>
          <c:invertIfNegative val="0"/>
          <c:cat>
            <c:strRef>
              <c:f>'Region - wise Total sales'!$C$6:$C$11</c:f>
              <c:strCache>
                <c:ptCount val="5"/>
                <c:pt idx="0">
                  <c:v>Central</c:v>
                </c:pt>
                <c:pt idx="1">
                  <c:v>East</c:v>
                </c:pt>
                <c:pt idx="2">
                  <c:v>North</c:v>
                </c:pt>
                <c:pt idx="3">
                  <c:v>South</c:v>
                </c:pt>
                <c:pt idx="4">
                  <c:v>West</c:v>
                </c:pt>
              </c:strCache>
            </c:strRef>
          </c:cat>
          <c:val>
            <c:numRef>
              <c:f>'Region - wise Total sales'!$D$6:$D$11</c:f>
              <c:numCache>
                <c:formatCode>"₹"\ #,##0</c:formatCode>
                <c:ptCount val="5"/>
                <c:pt idx="0">
                  <c:v>55412.540414489813</c:v>
                </c:pt>
                <c:pt idx="1">
                  <c:v>42087.483587957373</c:v>
                </c:pt>
                <c:pt idx="2">
                  <c:v>39522.573511854978</c:v>
                </c:pt>
                <c:pt idx="3">
                  <c:v>32752.775254680815</c:v>
                </c:pt>
                <c:pt idx="4">
                  <c:v>33874.966831660218</c:v>
                </c:pt>
              </c:numCache>
            </c:numRef>
          </c:val>
          <c:extLst>
            <c:ext xmlns:c16="http://schemas.microsoft.com/office/drawing/2014/chart" uri="{C3380CC4-5D6E-409C-BE32-E72D297353CC}">
              <c16:uniqueId val="{00000000-E25C-472A-B499-EC15806330A1}"/>
            </c:ext>
          </c:extLst>
        </c:ser>
        <c:dLbls>
          <c:showLegendKey val="0"/>
          <c:showVal val="0"/>
          <c:showCatName val="0"/>
          <c:showSerName val="0"/>
          <c:showPercent val="0"/>
          <c:showBubbleSize val="0"/>
        </c:dLbls>
        <c:gapWidth val="219"/>
        <c:overlap val="-27"/>
        <c:axId val="728567807"/>
        <c:axId val="728571167"/>
      </c:barChart>
      <c:catAx>
        <c:axId val="72856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728571167"/>
        <c:crosses val="autoZero"/>
        <c:auto val="1"/>
        <c:lblAlgn val="ctr"/>
        <c:lblOffset val="100"/>
        <c:noMultiLvlLbl val="0"/>
      </c:catAx>
      <c:valAx>
        <c:axId val="7285711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72856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analysis.xlsx]Annual Sales Comparison!PivotTable7</c:name>
    <c:fmtId val="1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i="1" u="none" strike="noStrike" baseline="0">
                <a:solidFill>
                  <a:schemeClr val="tx2"/>
                </a:solidFill>
                <a:latin typeface="Aharoni" panose="02010803020104030203" pitchFamily="2" charset="-79"/>
                <a:cs typeface="Aharoni" panose="02010803020104030203" pitchFamily="2" charset="-79"/>
              </a:rPr>
              <a:t>Annual Sales Comparison</a:t>
            </a:r>
            <a:endParaRPr lang="en-IN" sz="1600" b="1" i="1">
              <a:solidFill>
                <a:schemeClr val="tx2"/>
              </a:solidFill>
              <a:latin typeface="Aharoni" panose="02010803020104030203" pitchFamily="2" charset="-79"/>
              <a:cs typeface="Aharoni" panose="02010803020104030203" pitchFamily="2" charset="-79"/>
            </a:endParaRPr>
          </a:p>
        </c:rich>
      </c:tx>
      <c:layout>
        <c:manualLayout>
          <c:xMode val="edge"/>
          <c:yMode val="edge"/>
          <c:x val="8.8506436695413068E-2"/>
          <c:y val="2.3350850761587078E-2"/>
        </c:manualLayout>
      </c:layout>
      <c:overlay val="0"/>
      <c:spPr>
        <a:solidFill>
          <a:schemeClr val="accent3">
            <a:lumMod val="20000"/>
            <a:lumOff val="80000"/>
          </a:schemeClr>
        </a:solid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938450875458748E-2"/>
          <c:y val="2.7696683112775049E-2"/>
          <c:w val="0.49475179238958766"/>
          <c:h val="0.8416746864975212"/>
        </c:manualLayout>
      </c:layout>
      <c:barChart>
        <c:barDir val="col"/>
        <c:grouping val="clustered"/>
        <c:varyColors val="0"/>
        <c:ser>
          <c:idx val="0"/>
          <c:order val="0"/>
          <c:tx>
            <c:strRef>
              <c:f>'Annual Sales Comparison'!$F$5</c:f>
              <c:strCache>
                <c:ptCount val="1"/>
                <c:pt idx="0">
                  <c:v>Discount</c:v>
                </c:pt>
              </c:strCache>
            </c:strRef>
          </c:tx>
          <c:spPr>
            <a:solidFill>
              <a:schemeClr val="accent1"/>
            </a:solidFill>
            <a:ln>
              <a:noFill/>
            </a:ln>
            <a:effectLst/>
          </c:spPr>
          <c:invertIfNegative val="0"/>
          <c:cat>
            <c:strRef>
              <c:f>'Annual Sales Comparison'!$E$6:$E$9</c:f>
              <c:strCache>
                <c:ptCount val="3"/>
                <c:pt idx="0">
                  <c:v>2023</c:v>
                </c:pt>
                <c:pt idx="1">
                  <c:v>2024</c:v>
                </c:pt>
                <c:pt idx="2">
                  <c:v>2025</c:v>
                </c:pt>
              </c:strCache>
            </c:strRef>
          </c:cat>
          <c:val>
            <c:numRef>
              <c:f>'Annual Sales Comparison'!$F$6:$F$9</c:f>
              <c:numCache>
                <c:formatCode>"₹"\ #,##0</c:formatCode>
                <c:ptCount val="3"/>
                <c:pt idx="0">
                  <c:v>23.48</c:v>
                </c:pt>
                <c:pt idx="1">
                  <c:v>15.81</c:v>
                </c:pt>
                <c:pt idx="2">
                  <c:v>7.13</c:v>
                </c:pt>
              </c:numCache>
            </c:numRef>
          </c:val>
          <c:extLst>
            <c:ext xmlns:c16="http://schemas.microsoft.com/office/drawing/2014/chart" uri="{C3380CC4-5D6E-409C-BE32-E72D297353CC}">
              <c16:uniqueId val="{00000000-CB07-4DD3-82C4-5C0D73184C07}"/>
            </c:ext>
          </c:extLst>
        </c:ser>
        <c:ser>
          <c:idx val="1"/>
          <c:order val="1"/>
          <c:tx>
            <c:strRef>
              <c:f>'Annual Sales Comparison'!$G$5</c:f>
              <c:strCache>
                <c:ptCount val="1"/>
                <c:pt idx="0">
                  <c:v>Quantity sold</c:v>
                </c:pt>
              </c:strCache>
            </c:strRef>
          </c:tx>
          <c:spPr>
            <a:solidFill>
              <a:schemeClr val="accent2"/>
            </a:solidFill>
            <a:ln>
              <a:noFill/>
            </a:ln>
            <a:effectLst/>
          </c:spPr>
          <c:invertIfNegative val="0"/>
          <c:cat>
            <c:strRef>
              <c:f>'Annual Sales Comparison'!$E$6:$E$9</c:f>
              <c:strCache>
                <c:ptCount val="3"/>
                <c:pt idx="0">
                  <c:v>2023</c:v>
                </c:pt>
                <c:pt idx="1">
                  <c:v>2024</c:v>
                </c:pt>
                <c:pt idx="2">
                  <c:v>2025</c:v>
                </c:pt>
              </c:strCache>
            </c:strRef>
          </c:cat>
          <c:val>
            <c:numRef>
              <c:f>'Annual Sales Comparison'!$G$6:$G$9</c:f>
              <c:numCache>
                <c:formatCode>0</c:formatCode>
                <c:ptCount val="3"/>
                <c:pt idx="0">
                  <c:v>518</c:v>
                </c:pt>
                <c:pt idx="1">
                  <c:v>301</c:v>
                </c:pt>
                <c:pt idx="2">
                  <c:v>150</c:v>
                </c:pt>
              </c:numCache>
            </c:numRef>
          </c:val>
          <c:extLst>
            <c:ext xmlns:c16="http://schemas.microsoft.com/office/drawing/2014/chart" uri="{C3380CC4-5D6E-409C-BE32-E72D297353CC}">
              <c16:uniqueId val="{00000001-CB07-4DD3-82C4-5C0D73184C07}"/>
            </c:ext>
          </c:extLst>
        </c:ser>
        <c:dLbls>
          <c:showLegendKey val="0"/>
          <c:showVal val="0"/>
          <c:showCatName val="0"/>
          <c:showSerName val="0"/>
          <c:showPercent val="0"/>
          <c:showBubbleSize val="0"/>
        </c:dLbls>
        <c:gapWidth val="150"/>
        <c:axId val="744235135"/>
        <c:axId val="744237535"/>
      </c:barChart>
      <c:lineChart>
        <c:grouping val="standard"/>
        <c:varyColors val="0"/>
        <c:ser>
          <c:idx val="2"/>
          <c:order val="2"/>
          <c:tx>
            <c:strRef>
              <c:f>'Annual Sales Comparison'!$H$5</c:f>
              <c:strCache>
                <c:ptCount val="1"/>
                <c:pt idx="0">
                  <c:v>Total Sales</c:v>
                </c:pt>
              </c:strCache>
            </c:strRef>
          </c:tx>
          <c:spPr>
            <a:ln w="28575" cap="rnd">
              <a:solidFill>
                <a:schemeClr val="accent3"/>
              </a:solidFill>
              <a:round/>
            </a:ln>
            <a:effectLst/>
          </c:spPr>
          <c:marker>
            <c:symbol val="none"/>
          </c:marker>
          <c:cat>
            <c:strRef>
              <c:f>'Annual Sales Comparison'!$E$6:$E$9</c:f>
              <c:strCache>
                <c:ptCount val="3"/>
                <c:pt idx="0">
                  <c:v>2023</c:v>
                </c:pt>
                <c:pt idx="1">
                  <c:v>2024</c:v>
                </c:pt>
                <c:pt idx="2">
                  <c:v>2025</c:v>
                </c:pt>
              </c:strCache>
            </c:strRef>
          </c:cat>
          <c:val>
            <c:numRef>
              <c:f>'Annual Sales Comparison'!$H$6:$H$9</c:f>
              <c:numCache>
                <c:formatCode>"₹"\ #,##0</c:formatCode>
                <c:ptCount val="3"/>
                <c:pt idx="0">
                  <c:v>109145.23804894152</c:v>
                </c:pt>
                <c:pt idx="1">
                  <c:v>64872.210442149211</c:v>
                </c:pt>
                <c:pt idx="2">
                  <c:v>29632.891109552507</c:v>
                </c:pt>
              </c:numCache>
            </c:numRef>
          </c:val>
          <c:smooth val="0"/>
          <c:extLst>
            <c:ext xmlns:c16="http://schemas.microsoft.com/office/drawing/2014/chart" uri="{C3380CC4-5D6E-409C-BE32-E72D297353CC}">
              <c16:uniqueId val="{00000002-CB07-4DD3-82C4-5C0D73184C07}"/>
            </c:ext>
          </c:extLst>
        </c:ser>
        <c:dLbls>
          <c:showLegendKey val="0"/>
          <c:showVal val="0"/>
          <c:showCatName val="0"/>
          <c:showSerName val="0"/>
          <c:showPercent val="0"/>
          <c:showBubbleSize val="0"/>
        </c:dLbls>
        <c:marker val="1"/>
        <c:smooth val="0"/>
        <c:axId val="744236575"/>
        <c:axId val="744234655"/>
      </c:lineChart>
      <c:catAx>
        <c:axId val="74423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4237535"/>
        <c:crosses val="autoZero"/>
        <c:auto val="1"/>
        <c:lblAlgn val="ctr"/>
        <c:lblOffset val="100"/>
        <c:noMultiLvlLbl val="0"/>
      </c:catAx>
      <c:valAx>
        <c:axId val="7442375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4235135"/>
        <c:crosses val="autoZero"/>
        <c:crossBetween val="between"/>
      </c:valAx>
      <c:valAx>
        <c:axId val="744234655"/>
        <c:scaling>
          <c:orientation val="minMax"/>
        </c:scaling>
        <c:delete val="0"/>
        <c:axPos val="r"/>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4236575"/>
        <c:crosses val="max"/>
        <c:crossBetween val="between"/>
      </c:valAx>
      <c:catAx>
        <c:axId val="744236575"/>
        <c:scaling>
          <c:orientation val="minMax"/>
        </c:scaling>
        <c:delete val="1"/>
        <c:axPos val="b"/>
        <c:numFmt formatCode="General" sourceLinked="1"/>
        <c:majorTickMark val="none"/>
        <c:minorTickMark val="none"/>
        <c:tickLblPos val="nextTo"/>
        <c:crossAx val="74423465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17000"/>
            <a:lumOff val="83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601980</xdr:colOff>
      <xdr:row>11</xdr:row>
      <xdr:rowOff>15240</xdr:rowOff>
    </xdr:from>
    <xdr:to>
      <xdr:col>7</xdr:col>
      <xdr:colOff>495300</xdr:colOff>
      <xdr:row>24</xdr:row>
      <xdr:rowOff>95250</xdr:rowOff>
    </xdr:to>
    <xdr:graphicFrame macro="">
      <xdr:nvGraphicFramePr>
        <xdr:cNvPr id="2" name="Chart 1">
          <a:extLst>
            <a:ext uri="{FF2B5EF4-FFF2-40B4-BE49-F238E27FC236}">
              <a16:creationId xmlns:a16="http://schemas.microsoft.com/office/drawing/2014/main" id="{E1E5D4AA-983E-60D1-ED2A-B3A46D2EEB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502920</xdr:colOff>
      <xdr:row>11</xdr:row>
      <xdr:rowOff>0</xdr:rowOff>
    </xdr:from>
    <xdr:to>
      <xdr:col>10</xdr:col>
      <xdr:colOff>502920</xdr:colOff>
      <xdr:row>24</xdr:row>
      <xdr:rowOff>89535</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26B117C9-39C1-5007-244B-F7024EE7980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6690360" y="2011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312420</xdr:colOff>
      <xdr:row>13</xdr:row>
      <xdr:rowOff>3810</xdr:rowOff>
    </xdr:from>
    <xdr:to>
      <xdr:col>7</xdr:col>
      <xdr:colOff>472440</xdr:colOff>
      <xdr:row>27</xdr:row>
      <xdr:rowOff>137160</xdr:rowOff>
    </xdr:to>
    <xdr:graphicFrame macro="">
      <xdr:nvGraphicFramePr>
        <xdr:cNvPr id="3" name="Chart 2">
          <a:extLst>
            <a:ext uri="{FF2B5EF4-FFF2-40B4-BE49-F238E27FC236}">
              <a16:creationId xmlns:a16="http://schemas.microsoft.com/office/drawing/2014/main" id="{A40379BA-513D-D279-0150-B0F9BCB1E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476250</xdr:colOff>
      <xdr:row>13</xdr:row>
      <xdr:rowOff>9526</xdr:rowOff>
    </xdr:from>
    <xdr:to>
      <xdr:col>10</xdr:col>
      <xdr:colOff>476250</xdr:colOff>
      <xdr:row>24</xdr:row>
      <xdr:rowOff>180976</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39270AFF-8997-2007-2B01-1F163BA0CE2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657975" y="2486026"/>
              <a:ext cx="1828800" cy="2266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472440</xdr:colOff>
      <xdr:row>13</xdr:row>
      <xdr:rowOff>7621</xdr:rowOff>
    </xdr:from>
    <xdr:to>
      <xdr:col>12</xdr:col>
      <xdr:colOff>472440</xdr:colOff>
      <xdr:row>22</xdr:row>
      <xdr:rowOff>60961</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BF7B77DE-FD44-DADB-C4B6-B6660DC9272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995160" y="2385061"/>
              <a:ext cx="1828800" cy="1699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236220</xdr:colOff>
      <xdr:row>12</xdr:row>
      <xdr:rowOff>179070</xdr:rowOff>
    </xdr:from>
    <xdr:to>
      <xdr:col>9</xdr:col>
      <xdr:colOff>464820</xdr:colOff>
      <xdr:row>27</xdr:row>
      <xdr:rowOff>179070</xdr:rowOff>
    </xdr:to>
    <xdr:graphicFrame macro="">
      <xdr:nvGraphicFramePr>
        <xdr:cNvPr id="6" name="Chart 5">
          <a:extLst>
            <a:ext uri="{FF2B5EF4-FFF2-40B4-BE49-F238E27FC236}">
              <a16:creationId xmlns:a16="http://schemas.microsoft.com/office/drawing/2014/main" id="{C3C173EC-F4B0-5249-7E97-C9CE219F35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447675</xdr:colOff>
      <xdr:row>22</xdr:row>
      <xdr:rowOff>76200</xdr:rowOff>
    </xdr:from>
    <xdr:to>
      <xdr:col>15</xdr:col>
      <xdr:colOff>123825</xdr:colOff>
      <xdr:row>29</xdr:row>
      <xdr:rowOff>114300</xdr:rowOff>
    </xdr:to>
    <mc:AlternateContent xmlns:mc="http://schemas.openxmlformats.org/markup-compatibility/2006" xmlns:tsle="http://schemas.microsoft.com/office/drawing/2012/timeslicer">
      <mc:Choice Requires="tsle">
        <xdr:graphicFrame macro="">
          <xdr:nvGraphicFramePr>
            <xdr:cNvPr id="2" name="Order Date">
              <a:extLst>
                <a:ext uri="{FF2B5EF4-FFF2-40B4-BE49-F238E27FC236}">
                  <a16:creationId xmlns:a16="http://schemas.microsoft.com/office/drawing/2014/main" id="{7A79C9F1-787A-FA7F-D62A-349AEA6945A5}"/>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943725" y="42672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xdr:colOff>
      <xdr:row>11</xdr:row>
      <xdr:rowOff>90487</xdr:rowOff>
    </xdr:from>
    <xdr:to>
      <xdr:col>5</xdr:col>
      <xdr:colOff>200025</xdr:colOff>
      <xdr:row>25</xdr:row>
      <xdr:rowOff>166687</xdr:rowOff>
    </xdr:to>
    <xdr:graphicFrame macro="">
      <xdr:nvGraphicFramePr>
        <xdr:cNvPr id="2" name="Chart 1">
          <a:extLst>
            <a:ext uri="{FF2B5EF4-FFF2-40B4-BE49-F238E27FC236}">
              <a16:creationId xmlns:a16="http://schemas.microsoft.com/office/drawing/2014/main" id="{8172357E-30CA-B606-EAC3-69EA438DC7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247650</xdr:colOff>
      <xdr:row>11</xdr:row>
      <xdr:rowOff>114300</xdr:rowOff>
    </xdr:from>
    <xdr:to>
      <xdr:col>7</xdr:col>
      <xdr:colOff>466725</xdr:colOff>
      <xdr:row>23</xdr:row>
      <xdr:rowOff>161925</xdr:rowOff>
    </xdr:to>
    <mc:AlternateContent xmlns:mc="http://schemas.openxmlformats.org/markup-compatibility/2006" xmlns:a14="http://schemas.microsoft.com/office/drawing/2010/main">
      <mc:Choice Requires="a14">
        <xdr:graphicFrame macro="">
          <xdr:nvGraphicFramePr>
            <xdr:cNvPr id="3" name="Product Category 2">
              <a:extLst>
                <a:ext uri="{FF2B5EF4-FFF2-40B4-BE49-F238E27FC236}">
                  <a16:creationId xmlns:a16="http://schemas.microsoft.com/office/drawing/2014/main" id="{906B1DD8-5F70-9F61-EC33-0BDD789B0F5B}"/>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4629150" y="2209800"/>
              <a:ext cx="1828800" cy="2333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552450</xdr:colOff>
      <xdr:row>9</xdr:row>
      <xdr:rowOff>114300</xdr:rowOff>
    </xdr:from>
    <xdr:to>
      <xdr:col>9</xdr:col>
      <xdr:colOff>238125</xdr:colOff>
      <xdr:row>23</xdr:row>
      <xdr:rowOff>166687</xdr:rowOff>
    </xdr:to>
    <xdr:graphicFrame macro="">
      <xdr:nvGraphicFramePr>
        <xdr:cNvPr id="2" name="Chart 1">
          <a:extLst>
            <a:ext uri="{FF2B5EF4-FFF2-40B4-BE49-F238E27FC236}">
              <a16:creationId xmlns:a16="http://schemas.microsoft.com/office/drawing/2014/main" id="{5ED313B0-E66C-FF22-1A86-1C8CC6513B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238125</xdr:colOff>
      <xdr:row>12</xdr:row>
      <xdr:rowOff>66675</xdr:rowOff>
    </xdr:from>
    <xdr:to>
      <xdr:col>12</xdr:col>
      <xdr:colOff>238125</xdr:colOff>
      <xdr:row>22</xdr:row>
      <xdr:rowOff>76200</xdr:rowOff>
    </xdr:to>
    <mc:AlternateContent xmlns:mc="http://schemas.openxmlformats.org/markup-compatibility/2006" xmlns:a14="http://schemas.microsoft.com/office/drawing/2010/main">
      <mc:Choice Requires="a14">
        <xdr:graphicFrame macro="">
          <xdr:nvGraphicFramePr>
            <xdr:cNvPr id="4" name="Region 3">
              <a:extLst>
                <a:ext uri="{FF2B5EF4-FFF2-40B4-BE49-F238E27FC236}">
                  <a16:creationId xmlns:a16="http://schemas.microsoft.com/office/drawing/2014/main" id="{7EE08DE1-8D54-4BAF-35B0-CCE9EDA6A18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6981825" y="2352675"/>
              <a:ext cx="1828800" cy="1914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133350</xdr:colOff>
      <xdr:row>19</xdr:row>
      <xdr:rowOff>95250</xdr:rowOff>
    </xdr:from>
    <xdr:to>
      <xdr:col>12</xdr:col>
      <xdr:colOff>571500</xdr:colOff>
      <xdr:row>35</xdr:row>
      <xdr:rowOff>19050</xdr:rowOff>
    </xdr:to>
    <xdr:graphicFrame macro="">
      <xdr:nvGraphicFramePr>
        <xdr:cNvPr id="7" name="Chart 1">
          <a:extLst>
            <a:ext uri="{FF2B5EF4-FFF2-40B4-BE49-F238E27FC236}">
              <a16:creationId xmlns:a16="http://schemas.microsoft.com/office/drawing/2014/main" id="{FEC0BFE2-5D38-4D4F-8DD2-C6CC32F72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190500</xdr:colOff>
      <xdr:row>5</xdr:row>
      <xdr:rowOff>114300</xdr:rowOff>
    </xdr:from>
    <xdr:to>
      <xdr:col>16</xdr:col>
      <xdr:colOff>123825</xdr:colOff>
      <xdr:row>19</xdr:row>
      <xdr:rowOff>104775</xdr:rowOff>
    </xdr:to>
    <xdr:graphicFrame macro="">
      <xdr:nvGraphicFramePr>
        <xdr:cNvPr id="8" name="Chart 2">
          <a:extLst>
            <a:ext uri="{FF2B5EF4-FFF2-40B4-BE49-F238E27FC236}">
              <a16:creationId xmlns:a16="http://schemas.microsoft.com/office/drawing/2014/main" id="{5A2D14C0-F7F8-4784-8768-71A4518F0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133350</xdr:colOff>
      <xdr:row>5</xdr:row>
      <xdr:rowOff>123825</xdr:rowOff>
    </xdr:from>
    <xdr:to>
      <xdr:col>10</xdr:col>
      <xdr:colOff>200025</xdr:colOff>
      <xdr:row>19</xdr:row>
      <xdr:rowOff>85725</xdr:rowOff>
    </xdr:to>
    <xdr:graphicFrame macro="">
      <xdr:nvGraphicFramePr>
        <xdr:cNvPr id="4" name="Chart 3">
          <a:extLst>
            <a:ext uri="{FF2B5EF4-FFF2-40B4-BE49-F238E27FC236}">
              <a16:creationId xmlns:a16="http://schemas.microsoft.com/office/drawing/2014/main" id="{815C3F34-D617-4FCD-B96E-3EDA515E6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76200</xdr:colOff>
      <xdr:row>12</xdr:row>
      <xdr:rowOff>57150</xdr:rowOff>
    </xdr:from>
    <xdr:to>
      <xdr:col>3</xdr:col>
      <xdr:colOff>76200</xdr:colOff>
      <xdr:row>24</xdr:row>
      <xdr:rowOff>114300</xdr:rowOff>
    </xdr:to>
    <mc:AlternateContent xmlns:mc="http://schemas.openxmlformats.org/markup-compatibility/2006">
      <mc:Choice xmlns:a14="http://schemas.microsoft.com/office/drawing/2010/main" Requires="a14">
        <xdr:graphicFrame macro="">
          <xdr:nvGraphicFramePr>
            <xdr:cNvPr id="5" name="Product Category 1">
              <a:extLst>
                <a:ext uri="{FF2B5EF4-FFF2-40B4-BE49-F238E27FC236}">
                  <a16:creationId xmlns:a16="http://schemas.microsoft.com/office/drawing/2014/main" id="{BF98F0AE-E001-47F0-84CC-B60E979A0FE6}"/>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76200" y="2438400"/>
              <a:ext cx="1828800" cy="2343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25</xdr:row>
      <xdr:rowOff>57149</xdr:rowOff>
    </xdr:from>
    <xdr:to>
      <xdr:col>3</xdr:col>
      <xdr:colOff>57150</xdr:colOff>
      <xdr:row>35</xdr:row>
      <xdr:rowOff>28574</xdr:rowOff>
    </xdr:to>
    <mc:AlternateContent xmlns:mc="http://schemas.openxmlformats.org/markup-compatibility/2006">
      <mc:Choice xmlns:a14="http://schemas.microsoft.com/office/drawing/2010/main" Requires="a14">
        <xdr:graphicFrame macro="">
          <xdr:nvGraphicFramePr>
            <xdr:cNvPr id="6" name="Region 2">
              <a:extLst>
                <a:ext uri="{FF2B5EF4-FFF2-40B4-BE49-F238E27FC236}">
                  <a16:creationId xmlns:a16="http://schemas.microsoft.com/office/drawing/2014/main" id="{DBBEC70F-6859-4DC2-B7BB-2C9B0D4136DF}"/>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57150" y="4914899"/>
              <a:ext cx="1828800" cy="1876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142874</xdr:colOff>
      <xdr:row>5</xdr:row>
      <xdr:rowOff>104775</xdr:rowOff>
    </xdr:from>
    <xdr:to>
      <xdr:col>21</xdr:col>
      <xdr:colOff>561975</xdr:colOff>
      <xdr:row>19</xdr:row>
      <xdr:rowOff>114300</xdr:rowOff>
    </xdr:to>
    <xdr:graphicFrame macro="">
      <xdr:nvGraphicFramePr>
        <xdr:cNvPr id="2" name="Chart 1">
          <a:extLst>
            <a:ext uri="{FF2B5EF4-FFF2-40B4-BE49-F238E27FC236}">
              <a16:creationId xmlns:a16="http://schemas.microsoft.com/office/drawing/2014/main" id="{004BFE28-D47A-4541-A14A-93272DB3C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552449</xdr:colOff>
      <xdr:row>19</xdr:row>
      <xdr:rowOff>114300</xdr:rowOff>
    </xdr:from>
    <xdr:to>
      <xdr:col>21</xdr:col>
      <xdr:colOff>571500</xdr:colOff>
      <xdr:row>35</xdr:row>
      <xdr:rowOff>28576</xdr:rowOff>
    </xdr:to>
    <xdr:graphicFrame macro="">
      <xdr:nvGraphicFramePr>
        <xdr:cNvPr id="3" name="Chart 2">
          <a:extLst>
            <a:ext uri="{FF2B5EF4-FFF2-40B4-BE49-F238E27FC236}">
              <a16:creationId xmlns:a16="http://schemas.microsoft.com/office/drawing/2014/main" id="{E538AAFC-A053-4010-AD6F-73225DD82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85726</xdr:colOff>
      <xdr:row>5</xdr:row>
      <xdr:rowOff>114300</xdr:rowOff>
    </xdr:from>
    <xdr:to>
      <xdr:col>3</xdr:col>
      <xdr:colOff>47626</xdr:colOff>
      <xdr:row>11</xdr:row>
      <xdr:rowOff>123825</xdr:rowOff>
    </xdr:to>
    <mc:AlternateContent xmlns:mc="http://schemas.openxmlformats.org/markup-compatibility/2006">
      <mc:Choice xmlns:tsle="http://schemas.microsoft.com/office/drawing/2012/timeslicer" Requires="tsle">
        <xdr:graphicFrame macro="">
          <xdr:nvGraphicFramePr>
            <xdr:cNvPr id="9" name="Order Date 1">
              <a:extLst>
                <a:ext uri="{FF2B5EF4-FFF2-40B4-BE49-F238E27FC236}">
                  <a16:creationId xmlns:a16="http://schemas.microsoft.com/office/drawing/2014/main" id="{9C0FBCAC-74D0-4963-807A-A562193A3316}"/>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85726" y="1162050"/>
              <a:ext cx="1790700" cy="11525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VAMADHAN" refreshedDate="46061.93833020833" createdVersion="8" refreshedVersion="8" minRefreshableVersion="3" recordCount="310" xr:uid="{4DC8A8BD-FDF4-4190-87FA-C8F618DD52E4}">
  <cacheSource type="worksheet">
    <worksheetSource name="Table1"/>
  </cacheSource>
  <cacheFields count="11">
    <cacheField name="Order ID" numFmtId="0">
      <sharedItems/>
    </cacheField>
    <cacheField name="Customer ID" numFmtId="0">
      <sharedItems/>
    </cacheField>
    <cacheField name="Product Category" numFmtId="0">
      <sharedItems count="7">
        <s v="Home &amp; Kitchen"/>
        <s v="Clothing"/>
        <s v="Electronics"/>
        <s v="Sports"/>
        <s v="Toys"/>
        <s v="Books"/>
        <s v="Beauty"/>
      </sharedItems>
    </cacheField>
    <cacheField name="Product Name" numFmtId="0">
      <sharedItems/>
    </cacheField>
    <cacheField name="Quantity" numFmtId="2">
      <sharedItems containsSemiMixedTypes="0" containsString="0" containsNumber="1" containsInteger="1" minValue="1" maxValue="5"/>
    </cacheField>
    <cacheField name="Unit Price" numFmtId="0">
      <sharedItems containsSemiMixedTypes="0" containsString="0" containsNumber="1" minValue="11.06" maxValue="492.38"/>
    </cacheField>
    <cacheField name="Discount" numFmtId="0">
      <sharedItems containsSemiMixedTypes="0" containsString="0" containsNumber="1" minValue="0" maxValue="0.3"/>
    </cacheField>
    <cacheField name="Total Sales" numFmtId="164">
      <sharedItems containsSemiMixedTypes="0" containsString="0" containsNumber="1" minValue="10.4718" maxValue="2275.8615"/>
    </cacheField>
    <cacheField name="Order Date" numFmtId="14">
      <sharedItems count="232">
        <s v="14-01-2023"/>
        <s v="06-26-2023"/>
        <s v="30-04-2023"/>
        <s v="24-11-2023"/>
        <s v="10-15-2023"/>
        <s v="02-11-2023"/>
        <s v="15-05-2023"/>
        <s v="07-06-2023"/>
        <s v="05-08-2023"/>
        <s v="31-01-2023"/>
        <s v="15-08-2023"/>
        <s v="08-21-2023"/>
        <s v="06-04-2023"/>
        <s v="10-06-2023"/>
        <s v="05-02-2023"/>
        <s v="24-02-2023"/>
        <s v="03-08-2023"/>
        <s v="01-21-2023"/>
        <s v="20-06-2023"/>
        <s v="07-24-2023"/>
        <s v="03-05-2023"/>
        <s v="10-24-2023"/>
        <s v="12-04-2023"/>
        <s v="23-03-2023"/>
        <s v="11-02-2023"/>
        <s v="14-07-2023"/>
        <s v="27-07-2023"/>
        <s v="06-17-2023"/>
        <s v="13-04-2023"/>
        <s v="09-06-2023"/>
        <s v="01-22-2023"/>
        <s v="05-09-2023"/>
        <s v="05-13-2023"/>
        <s v="09-01-2023"/>
        <s v="04-09-2023"/>
        <s v="08-01-2023"/>
        <s v="02-09-2023"/>
        <s v="08-15-2023"/>
        <s v="01-11-2023"/>
        <s v="06-02-2023"/>
        <s v="07-29-2023"/>
        <s v="01-01-2023"/>
        <s v="08-11-2023"/>
        <s v="30-08-2023"/>
        <s v="28-10-2023"/>
        <s v="15-07-2023"/>
        <s v="05-16-2023"/>
        <s v="11-08-2023"/>
        <s v="14-11-2023"/>
        <s v="03-06-2023"/>
        <s v="18-12-2023"/>
        <s v="27-11-2023"/>
        <s v="09-04-2023"/>
        <s v="12-11-2023"/>
        <s v="12-25-2023"/>
        <s v="01-08-2023"/>
        <s v="04-03-2023"/>
        <s v="17-03-2023"/>
        <s v="27-09-2023"/>
        <s v="25-07-2023"/>
        <s v="20-02-2023"/>
        <s v="31-08-2023"/>
        <s v="05-28-2023"/>
        <s v="15-11-2023"/>
        <s v="12-07-2023"/>
        <s v="06-09-2023"/>
        <s v="19-04-2023"/>
        <s v="12-08-2023"/>
        <s v="19-03-2023"/>
        <s v="16-02-2023"/>
        <s v="25-06-2023"/>
        <s v="02-03-2023"/>
        <s v="18-06-2023"/>
        <s v="17-09-2023"/>
        <s v="18-08-2023"/>
        <s v="24-03-2023"/>
        <s v="16-03-2023"/>
        <s v="04-06-2023"/>
        <s v="02-08-2023"/>
        <s v="01-09-2023"/>
        <s v="04-04-2023"/>
        <s v="01-25-2023"/>
        <s v="10-02-2023"/>
        <s v="11-11-2023"/>
        <s v="18-10-2023"/>
        <s v="23-09-2023"/>
        <s v="02-14-2023"/>
        <s v="07-04-2023"/>
        <s v="26-06-2023"/>
        <s v="26-05-2023"/>
        <s v="15-01-2023"/>
        <s v="02-06-2023"/>
        <s v="04-05-2023"/>
        <s v="21-09-2023"/>
        <s v="03-10-2023"/>
        <s v="06-23-2023"/>
        <s v="25-03-2023"/>
        <s v="19-12-2023"/>
        <s v="08-04-2023"/>
        <s v="30-03-2023"/>
        <s v="09-08-2023"/>
        <s v="02-10-2023"/>
        <s v="20-01-2023"/>
        <s v="06-10-2023"/>
        <s v="21-10-2023"/>
        <s v="10-03-2023"/>
        <s v="05-07-2023"/>
        <s v="29-01-2023"/>
        <s v="04-10-2023"/>
        <s v="27-06-2023"/>
        <s v="25-01-2023"/>
        <s v="05-12-2023"/>
        <s v="05-04-2023"/>
        <s v="09-07-2023"/>
        <s v="12-09-2023"/>
        <s v="04-11-2023"/>
        <s v="08-12-2023"/>
        <s v="10-10-2023"/>
        <s v="12-17-2023"/>
        <s v="16-07-2023"/>
        <s v="04-27-2023"/>
        <s v="17-07-2023"/>
        <s v="21-06-2023"/>
        <s v="07-21-2023"/>
        <s v="29-07-2023"/>
        <s v="04-07-2023"/>
        <s v="25-10-2023"/>
        <s v="16-04-2023"/>
        <s v="22-09-2023"/>
        <s v="03-01-2023"/>
        <s v="22-12-2023"/>
        <s v="03-07-2023"/>
        <s v="22-02-2023"/>
        <s v="02-12-2023"/>
        <s v="17-02-2023"/>
        <s v="23-07-2023"/>
        <s v="24-08-2023"/>
        <s v="10-07-2023"/>
        <s v="03-03-2023"/>
        <s v="18-11-2023"/>
        <s v="09-17-2023"/>
        <s v="29-11-2023"/>
        <s v="26-12-2023"/>
        <s v="02-04-2023"/>
        <s v="05-05-2023"/>
        <s v="23-11-2023"/>
        <s v="27-10-2023"/>
        <s v="21-01-2023"/>
        <s v="13-03-2023"/>
        <s v="07-03-2023"/>
        <s v="18-03-2023"/>
        <s v="10-01-2023"/>
        <s v="08-30-2023"/>
        <s v="12-24-2023"/>
        <s v="19-06-2023"/>
        <s v="15-06-2023"/>
        <s v="29-06-2023"/>
        <s v="08-02-2023"/>
        <s v="10-04-2023"/>
        <s v="18-05-2023"/>
        <s v="14-04-2023"/>
        <s v="26-07-2023"/>
        <s v="16-01-2023"/>
        <s v="20-04-2023"/>
        <s v="12-31-2023"/>
        <s v="11-01-2023"/>
        <s v="06-19-2023"/>
        <s v="28-03-2023"/>
        <s v="01-10-2023"/>
        <s v="12-06-2023"/>
        <s v="02-21-2023"/>
        <s v="28-11-2023"/>
        <s v="08-03-2023"/>
        <s v="13-11-2023"/>
        <s v="26-03-2023"/>
        <s v="11-06-2023"/>
        <s v="21-11-2023"/>
        <s v="09-20-2023"/>
        <s v="15-10-2023"/>
        <s v="03-24-2023"/>
        <s v="05-11-2023"/>
        <s v="23-04-2023"/>
        <s v="11-07-2023"/>
        <s v="23-02-2023"/>
        <s v="19-08-2023"/>
        <s v="07-11-2023"/>
        <s v="14-03-2023"/>
        <s v="10-05-2023"/>
        <s v="20-07-2023"/>
        <s v="04-12-2023"/>
        <s v="02-22-2023"/>
        <s v="06-11-2023"/>
        <s v="03-09-2023"/>
        <s v="03-27-2023"/>
        <s v="29-10-2023"/>
        <s v="23-06-2023"/>
        <s v="07-25-2023"/>
        <s v="22-05-2023"/>
        <s v="23-08-2023"/>
        <s v="11-13-2023"/>
        <s v="09-19-2023"/>
        <s v="24-12-2023"/>
        <s v="18-04-2023"/>
        <s v="19-11-2023"/>
        <s v="16-06-2023"/>
        <s v="12-01-2023"/>
        <s v="25-12-2023"/>
        <s v="22-11-2023"/>
        <s v="05-01-2023"/>
        <s v="19-07-2023"/>
        <s v="22-08-2023"/>
        <s v="10-09-2023"/>
        <s v="09-05-2023"/>
        <s v="17-11-2023"/>
        <s v="06-01-2023"/>
        <s v="18-07-2023"/>
        <s v="02-01-2023"/>
        <s v="29-04-2023"/>
        <s v="03-04-2023"/>
        <s v="01-12-2023"/>
        <s v="22-04-2023"/>
        <s v="17-08-2023"/>
        <s v="11-03-2023"/>
        <s v="07-07-2023"/>
        <s v="13-02-2023"/>
        <s v="13-05-2023"/>
        <s v="09-14-2023"/>
        <s v="08-07-2023"/>
        <s v="03-22-2023"/>
        <s v="09-03-2023"/>
        <s v="26-08-2023"/>
        <s v="17-04-2023"/>
      </sharedItems>
    </cacheField>
    <cacheField name="Region" numFmtId="0">
      <sharedItems count="6">
        <s v="Central"/>
        <s v="North"/>
        <s v="West"/>
        <s v="East"/>
        <s v="South"/>
        <s v=""/>
      </sharedItems>
    </cacheField>
    <cacheField name="Payment Method" numFmtId="0">
      <sharedItems/>
    </cacheField>
  </cacheFields>
  <extLst>
    <ext xmlns:x14="http://schemas.microsoft.com/office/spreadsheetml/2009/9/main" uri="{725AE2AE-9491-48be-B2B4-4EB974FC3084}">
      <x14:pivotCacheDefinition pivotCacheId="12836189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AMADHAN" refreshedDate="46115.818411921297" backgroundQuery="1" createdVersion="8" refreshedVersion="8" minRefreshableVersion="3" recordCount="0" supportSubquery="1" supportAdvancedDrill="1" xr:uid="{9FCD75C6-B6EF-4154-9E20-4F4992E7285E}">
  <cacheSource type="external" connectionId="2"/>
  <cacheFields count="3">
    <cacheField name="[Table1].[Payment Method].[Payment Method]" caption="Payment Method" numFmtId="0" hierarchy="11" level="1">
      <sharedItems count="5">
        <s v="Cash on Delivery"/>
        <s v="Credit Card"/>
        <s v="Debit Card"/>
        <s v="Net Banking"/>
        <s v="UPI"/>
      </sharedItems>
    </cacheField>
    <cacheField name="[Measures].[Sum of Total Sales]" caption="Sum of Total Sales" numFmtId="0" hierarchy="14" level="32767"/>
    <cacheField name="[Table1].[Product Category].[Product Category]" caption="Product Category" numFmtId="0" hierarchy="2" level="1">
      <sharedItems containsSemiMixedTypes="0" containsNonDate="0" containsString="0"/>
    </cacheField>
  </cacheFields>
  <cacheHierarchies count="20">
    <cacheHierarchy uniqueName="[Table1].[Order ID]" caption="Order ID" attribute="1" defaultMemberUniqueName="[Table1].[Order ID].[All]" allUniqueName="[Table1].[Order ID].[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AMADHAN" refreshedDate="46115.818408333333" backgroundQuery="1" createdVersion="8" refreshedVersion="8" minRefreshableVersion="3" recordCount="0" supportSubquery="1" supportAdvancedDrill="1" xr:uid="{A77329DA-92D9-4655-A5F4-AF114A0DE046}">
  <cacheSource type="external" connectionId="2"/>
  <cacheFields count="3">
    <cacheField name="[Table1].[Region].[Region]" caption="Region" numFmtId="0" hierarchy="10" level="1">
      <sharedItems count="5">
        <s v="Central"/>
        <s v="East"/>
        <s v="North"/>
        <s v="South"/>
        <s v="West"/>
      </sharedItems>
    </cacheField>
    <cacheField name="[Measures].[Sum of Total Sales]" caption="Sum of Total Sales" numFmtId="0" hierarchy="14" level="32767"/>
    <cacheField name="[Table1].[Product Category].[Product Category]" caption="Product Category" numFmtId="0" hierarchy="2" level="1">
      <sharedItems containsSemiMixedTypes="0" containsNonDate="0" containsString="0"/>
    </cacheField>
  </cacheFields>
  <cacheHierarchies count="20">
    <cacheHierarchy uniqueName="[Table1].[Order ID]" caption="Order ID" attribute="1" defaultMemberUniqueName="[Table1].[Order ID].[All]" allUniqueName="[Table1].[Order ID].[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Payment Method]" caption="Payment Method" attribute="1" defaultMemberUniqueName="[Table1].[Payment Method].[All]" allUniqueName="[Table1].[Payment Metho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AMADHAN" refreshedDate="46115.827292708331" backgroundQuery="1" createdVersion="8" refreshedVersion="8" minRefreshableVersion="3" recordCount="0" supportSubquery="1" supportAdvancedDrill="1" xr:uid="{A95D1FE9-5FBF-4934-8730-B3FD5EC84391}">
  <cacheSource type="external" connectionId="2"/>
  <cacheFields count="4">
    <cacheField name="[Table1].[Year].[Year]" caption="Year" numFmtId="0" hierarchy="9" level="1">
      <sharedItems count="3">
        <s v="2023"/>
        <s v="2024"/>
        <s v="2025"/>
      </sharedItems>
    </cacheField>
    <cacheField name="[Measures].[Sum of Total Sales]" caption="Sum of Total Sales" numFmtId="0" hierarchy="14" level="32767"/>
    <cacheField name="[Measures].[Sum of Discount]" caption="Sum of Discount" numFmtId="0" hierarchy="15" level="32767"/>
    <cacheField name="[Measures].[Sum of Quantity]" caption="Sum of Quantity" numFmtId="0" hierarchy="17" level="32767"/>
  </cacheFields>
  <cacheHierarchies count="20">
    <cacheHierarchy uniqueName="[Table1].[Order ID]" caption="Order ID" attribute="1" defaultMemberUniqueName="[Table1].[Order ID].[All]" allUniqueName="[Table1].[Order ID].[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5" unbalanced="0"/>
    <cacheHierarchy uniqueName="[Table1].[Discount]" caption="Discount" attribute="1" defaultMemberUniqueName="[Table1].[Discount].[All]" allUniqueName="[Table1].[Discount].[All]" dimensionUniqueName="[Table1]" displayFolder="" count="2" memberValueDatatype="5" unbalanced="0"/>
    <cacheHierarchy uniqueName="[Table1].[Total Sales]" caption="Total Sales" attribute="1" defaultMemberUniqueName="[Table1].[Total Sales].[All]" allUniqueName="[Table1].[Total Sales].[All]" dimensionUniqueName="[Table1]" displayFolder="" count="2" memberValueDatatype="5" unbalanced="0"/>
    <cacheHierarchy uniqueName="[Table1].[Order Date]" caption="Order Date" attribute="1" time="1" defaultMemberUniqueName="[Table1].[Order Date].[All]" allUniqueName="[Table1].[Order Date].[All]" dimensionUniqueName="[Table1]" displayFolder="" count="2" memberValueDatatype="7" unbalanced="0"/>
    <cacheHierarchy uniqueName="[Table1].[Year]" caption="Year" attribute="1" defaultMemberUniqueName="[Table1].[Year].[All]" allUniqueName="[Table1].[Year].[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Discount]" caption="Sum of Discount" measure="1" displayFolder="" measureGroup="Table1"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oneField="1" hidden="1">
      <fieldsUsage count="1">
        <fieldUsage x="3"/>
      </fieldsUsage>
      <extLst>
        <ext xmlns:x15="http://schemas.microsoft.com/office/spreadsheetml/2010/11/main" uri="{B97F6D7D-B522-45F9-BDA1-12C45D357490}">
          <x15:cacheHierarchy aggregatedColumn="4"/>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AMADHAN" refreshedDate="46115.832417013888" backgroundQuery="1" createdVersion="8" refreshedVersion="8" minRefreshableVersion="3" recordCount="0" supportSubquery="1" supportAdvancedDrill="1" xr:uid="{2FD7F3B4-EF95-4903-A7AF-C72B4343C132}">
  <cacheSource type="external" connectionId="2"/>
  <cacheFields count="4">
    <cacheField name="[Table1].[Product Category].[Product Category]" caption="Product Category" numFmtId="0" hierarchy="2" level="1">
      <sharedItems count="7">
        <s v="Beauty"/>
        <s v="Books"/>
        <s v="Clothing"/>
        <s v="Electronics"/>
        <s v="Home &amp; Kitchen"/>
        <s v="Sports"/>
        <s v="Toys"/>
      </sharedItems>
    </cacheField>
    <cacheField name="[Measures].[Sum of Discount]" caption="Sum of Discount" numFmtId="0" hierarchy="15" level="32767"/>
    <cacheField name="[Measures].[Sum of Quantity]" caption="Sum of Quantity" numFmtId="0" hierarchy="17" level="32767"/>
    <cacheField name="[Table1].[Region].[Region]" caption="Region" numFmtId="0" hierarchy="10" level="1">
      <sharedItems containsSemiMixedTypes="0" containsNonDate="0" containsString="0"/>
    </cacheField>
  </cacheFields>
  <cacheHierarchies count="20">
    <cacheHierarchy uniqueName="[Table1].[Order ID]" caption="Order ID" attribute="1" defaultMemberUniqueName="[Table1].[Order ID].[All]" allUniqueName="[Table1].[Order ID].[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0"/>
      </fieldsUsage>
    </cacheHierarchy>
    <cacheHierarchy uniqueName="[Table1].[Product Name]" caption="Product Name" attribute="1" defaultMemberUniqueName="[Table1].[Product Name].[All]" allUniqueName="[Table1].[Product Name].[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5" unbalanced="0"/>
    <cacheHierarchy uniqueName="[Table1].[Discount]" caption="Discount" attribute="1" defaultMemberUniqueName="[Table1].[Discount].[All]" allUniqueName="[Table1].[Discount].[All]" dimensionUniqueName="[Table1]" displayFolder="" count="2" memberValueDatatype="5" unbalanced="0"/>
    <cacheHierarchy uniqueName="[Table1].[Total Sales]" caption="Total Sales" attribute="1" defaultMemberUniqueName="[Table1].[Total Sales].[All]" allUniqueName="[Table1].[Total Sales].[All]" dimensionUniqueName="[Table1]" displayFolder="" count="2" memberValueDatatype="5" unbalanced="0"/>
    <cacheHierarchy uniqueName="[Table1].[Order Date]" caption="Order Date" attribute="1" time="1" defaultMemberUniqueName="[Table1].[Order Date].[All]" allUniqueName="[Table1].[Order Date].[All]" dimensionUniqueName="[Table1]" displayFolder="" count="2" memberValueDatatype="7" unbalanced="0"/>
    <cacheHierarchy uniqueName="[Table1].[Year]" caption="Year" attribute="1" defaultMemberUniqueName="[Table1].[Year].[All]" allUniqueName="[Table1].[Year].[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ayment Method]" caption="Payment Method" attribute="1" defaultMemberUniqueName="[Table1].[Payment Method].[All]" allUniqueName="[Table1].[Payment Method].[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7"/>
        </ext>
      </extLst>
    </cacheHierarchy>
    <cacheHierarchy uniqueName="[Measures].[Sum of Discount]" caption="Sum of Discount"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oneField="1" hidden="1">
      <fieldsUsage count="1">
        <fieldUsage x="2"/>
      </fieldsUsage>
      <extLst>
        <ext xmlns:x15="http://schemas.microsoft.com/office/spreadsheetml/2010/11/main" uri="{B97F6D7D-B522-45F9-BDA1-12C45D357490}">
          <x15:cacheHierarchy aggregatedColumn="4"/>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AMADHAN" refreshedDate="46115.818407523147" backgroundQuery="1" createdVersion="3" refreshedVersion="8" minRefreshableVersion="3" recordCount="0" supportSubquery="1" supportAdvancedDrill="1" xr:uid="{67DF4CE9-409A-4F80-8827-43B86577FBD5}">
  <cacheSource type="external" connectionId="2">
    <extLst>
      <ext xmlns:x14="http://schemas.microsoft.com/office/spreadsheetml/2009/9/main" uri="{F057638F-6D5F-4e77-A914-E7F072B9BCA8}">
        <x14:sourceConnection name="ThisWorkbookDataModel"/>
      </ext>
    </extLst>
  </cacheSource>
  <cacheFields count="0"/>
  <cacheHierarchies count="18">
    <cacheHierarchy uniqueName="[Table1].[Order ID]" caption="Order ID" attribute="1" defaultMemberUniqueName="[Table1].[Order ID].[All]" allUniqueName="[Table1].[Order ID].[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7"/>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435743320"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AMADHAN" refreshedDate="46115.81840960648" backgroundQuery="1" createdVersion="3" refreshedVersion="8" minRefreshableVersion="3" recordCount="0" supportSubquery="1" supportAdvancedDrill="1" xr:uid="{76006E56-5416-464E-97F3-88EA3D35C42F}">
  <cacheSource type="external" connectionId="2">
    <extLst>
      <ext xmlns:x14="http://schemas.microsoft.com/office/spreadsheetml/2009/9/main" uri="{F057638F-6D5F-4e77-A914-E7F072B9BCA8}">
        <x14:sourceConnection name="ThisWorkbookDataModel"/>
      </ext>
    </extLst>
  </cacheSource>
  <cacheFields count="0"/>
  <cacheHierarchies count="18">
    <cacheHierarchy uniqueName="[Table1].[Order ID]" caption="Order ID" attribute="1" defaultMemberUniqueName="[Table1].[Order ID].[All]" allUniqueName="[Table1].[Order ID].[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7"/>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05396578"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AMADHAN" refreshedDate="46115.818411458335" backgroundQuery="1" createdVersion="3" refreshedVersion="8" minRefreshableVersion="3" recordCount="0" supportSubquery="1" supportAdvancedDrill="1" xr:uid="{32874A4A-4A3B-4AE7-B0C8-EA83E2C41D2D}">
  <cacheSource type="external" connectionId="2">
    <extLst>
      <ext xmlns:x14="http://schemas.microsoft.com/office/spreadsheetml/2009/9/main" uri="{F057638F-6D5F-4e77-A914-E7F072B9BCA8}">
        <x14:sourceConnection name="ThisWorkbookDataModel"/>
      </ext>
    </extLst>
  </cacheSource>
  <cacheFields count="0"/>
  <cacheHierarchies count="18">
    <cacheHierarchy uniqueName="[Table1].[Order ID]" caption="Order ID" attribute="1" defaultMemberUniqueName="[Table1].[Order ID].[All]" allUniqueName="[Table1].[Order ID].[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7"/>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877639381"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AMADHAN" refreshedDate="46115.82729050926" backgroundQuery="1" createdVersion="3" refreshedVersion="8" minRefreshableVersion="3" recordCount="0" supportSubquery="1" supportAdvancedDrill="1" xr:uid="{8FBF91ED-B9CD-46DA-AAB6-38730DB67A41}">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Table1].[Order ID]" caption="Order ID" attribute="1" defaultMemberUniqueName="[Table1].[Order ID].[All]" allUniqueName="[Table1].[Order ID].[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7"/>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381213652"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VAMADHAN" refreshedDate="46115.831292939816" backgroundQuery="1" createdVersion="3" refreshedVersion="8" minRefreshableVersion="3" recordCount="0" supportSubquery="1" supportAdvancedDrill="1" xr:uid="{ACC7E89C-1BA7-451E-9B53-601B6EAA87C7}">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Table1].[Order ID]" caption="Order ID" attribute="1" defaultMemberUniqueName="[Table1].[Order ID].[All]" allUniqueName="[Table1].[Order ID].[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Total Sales]" caption="Total Sales" attribute="1" defaultMemberUniqueName="[Table1].[Total Sales].[All]" allUniqueName="[Table1].[Total Sales].[All]" dimensionUniqueName="[Table1]" displayFolder="" count="0" memberValueDatatype="5" unbalanced="0"/>
    <cacheHierarchy uniqueName="[Table1].[Order Date]" caption="Order Date" attribute="1" time="1" defaultMemberUniqueName="[Table1].[Order Date].[All]" allUniqueName="[Table1].[Order Date].[All]" dimensionUniqueName="[Table1]" displayFolder="" count="2" memberValueDatatype="7" unbalanced="0"/>
    <cacheHierarchy uniqueName="[Table1].[Year]" caption="Year" attribute="1" defaultMemberUniqueName="[Table1].[Year].[All]" allUniqueName="[Table1].[Year].[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7"/>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pivotCacheId="135331257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
  <r>
    <s v="ORD1000"/>
    <s v="CUST2824"/>
    <x v="0"/>
    <s v="Jeans"/>
    <n v="1"/>
    <n v="25.57"/>
    <n v="7.0000000000000007E-2"/>
    <n v="23.780100000000001"/>
    <x v="0"/>
    <x v="0"/>
    <s v="UPI"/>
  </r>
  <r>
    <s v="ORD1001"/>
    <s v="CUST1106"/>
    <x v="1"/>
    <s v="Jacket"/>
    <n v="2"/>
    <n v="174.93"/>
    <n v="0.11"/>
    <n v="311.37540000000001"/>
    <x v="1"/>
    <x v="1"/>
    <s v="UPI"/>
  </r>
  <r>
    <s v="ORD1002"/>
    <s v="CUST7201"/>
    <x v="0"/>
    <s v="Bicycle Helmet"/>
    <n v="3"/>
    <n v="32.450000000000003"/>
    <n v="0.23"/>
    <n v="74.959500000000006"/>
    <x v="2"/>
    <x v="2"/>
    <s v="Net Banking"/>
  </r>
  <r>
    <s v="ORD1003"/>
    <s v="CUST3664"/>
    <x v="1"/>
    <s v="Dress"/>
    <n v="1"/>
    <n v="129.96"/>
    <n v="0.11"/>
    <n v="115.6644"/>
    <x v="3"/>
    <x v="0"/>
    <s v="Credit Card"/>
  </r>
  <r>
    <s v="ORD1004"/>
    <s v="CUST6168"/>
    <x v="2"/>
    <s v="Smartphone"/>
    <n v="5"/>
    <n v="254.62"/>
    <n v="0.04"/>
    <n v="1222.1759999999999"/>
    <x v="4"/>
    <x v="0"/>
    <s v="UPI"/>
  </r>
  <r>
    <s v="ORD1005"/>
    <s v="CUST4593"/>
    <x v="1"/>
    <s v="Sweater"/>
    <n v="1"/>
    <n v="88.39"/>
    <n v="0.18"/>
    <n v="72.479800000000012"/>
    <x v="5"/>
    <x v="0"/>
    <s v="Net Banking"/>
  </r>
  <r>
    <s v="ORD1006"/>
    <s v="CUST1188"/>
    <x v="2"/>
    <s v="Smartwatch"/>
    <n v="3"/>
    <n v="87.5"/>
    <n v="0.28999999999999998"/>
    <n v="186.375"/>
    <x v="6"/>
    <x v="0"/>
    <s v="Credit Card"/>
  </r>
  <r>
    <s v="ORD1007"/>
    <s v="CUST9317"/>
    <x v="1"/>
    <s v="Dress"/>
    <n v="5"/>
    <n v="249.42"/>
    <n v="0.28000000000000003"/>
    <n v="897.91199999999992"/>
    <x v="7"/>
    <x v="1"/>
    <s v="Debit Card"/>
  </r>
  <r>
    <s v="ORD1008"/>
    <s v="CUST2403"/>
    <x v="3"/>
    <s v="Football"/>
    <n v="5"/>
    <n v="242.89"/>
    <n v="0.08"/>
    <n v="1117.2940000000001"/>
    <x v="8"/>
    <x v="0"/>
    <s v="Debit Card"/>
  </r>
  <r>
    <s v="ORD1009"/>
    <s v="CUST7118"/>
    <x v="4"/>
    <s v="Puzzle"/>
    <n v="2"/>
    <n v="298.27"/>
    <n v="0.18"/>
    <n v="524.84700638087429"/>
    <x v="9"/>
    <x v="1"/>
    <s v="Credit Card"/>
  </r>
  <r>
    <s v="ORD1010"/>
    <s v="CUST4899"/>
    <x v="5"/>
    <s v="Biography"/>
    <n v="5"/>
    <n v="241.76"/>
    <n v="0.06"/>
    <n v="1158.393507937913"/>
    <x v="8"/>
    <x v="2"/>
    <s v="Credit Card"/>
  </r>
  <r>
    <s v="ORD1011"/>
    <s v="CUST2612"/>
    <x v="6"/>
    <s v="Toaster"/>
    <n v="2"/>
    <n v="99.91"/>
    <n v="7.0000000000000007E-2"/>
    <n v="185.83260000000001"/>
    <x v="10"/>
    <x v="1"/>
    <s v="Cash on Delivery"/>
  </r>
  <r>
    <s v="ORD1012"/>
    <s v="CUST4872"/>
    <x v="5"/>
    <s v="Mystery"/>
    <n v="4"/>
    <n v="11.06"/>
    <n v="0.08"/>
    <n v="40.700800000000001"/>
    <x v="11"/>
    <x v="2"/>
    <s v="Cash on Delivery"/>
  </r>
  <r>
    <s v="ORD1013"/>
    <s v="CUST4111"/>
    <x v="2"/>
    <s v="Smartwatch"/>
    <n v="1"/>
    <n v="296.25"/>
    <n v="0.02"/>
    <n v="290.32499999999999"/>
    <x v="12"/>
    <x v="0"/>
    <s v="Credit Card"/>
  </r>
  <r>
    <s v="ORD1014"/>
    <s v="CUST2964"/>
    <x v="4"/>
    <s v="Board Game"/>
    <n v="1"/>
    <n v="296"/>
    <n v="0.28000000000000003"/>
    <n v="213.12"/>
    <x v="13"/>
    <x v="3"/>
    <s v="UPI"/>
  </r>
  <r>
    <s v="ORD1015"/>
    <s v="CUST8491"/>
    <x v="3"/>
    <s v="Football"/>
    <n v="5"/>
    <n v="114.45"/>
    <n v="0.04"/>
    <n v="549.36"/>
    <x v="14"/>
    <x v="3"/>
    <s v="Net Banking"/>
  </r>
  <r>
    <s v="ORD1016"/>
    <s v="CUST5956"/>
    <x v="3"/>
    <s v="Bicycle Helmet"/>
    <n v="3"/>
    <n v="60.76"/>
    <n v="0.08"/>
    <n v="167.69759999999999"/>
    <x v="15"/>
    <x v="3"/>
    <s v="Net Banking"/>
  </r>
  <r>
    <s v="ORD1017"/>
    <s v="CUST4335"/>
    <x v="3"/>
    <s v="Yoga Mat"/>
    <n v="3"/>
    <n v="217.55"/>
    <n v="0.01"/>
    <n v="646.12350000000004"/>
    <x v="16"/>
    <x v="4"/>
    <s v="UPI"/>
  </r>
  <r>
    <s v="ORD1018"/>
    <s v="CUST1158"/>
    <x v="6"/>
    <s v="Foundation"/>
    <n v="3"/>
    <n v="30.5"/>
    <n v="0.27"/>
    <n v="66.795000000000002"/>
    <x v="17"/>
    <x v="4"/>
    <s v="Debit Card"/>
  </r>
  <r>
    <s v="ORD1019"/>
    <s v="CUST7658"/>
    <x v="6"/>
    <s v="Foundation"/>
    <n v="2"/>
    <n v="407.28"/>
    <n v="0.01"/>
    <n v="806.41439999999989"/>
    <x v="18"/>
    <x v="4"/>
    <s v="Net Banking"/>
  </r>
  <r>
    <s v="ORD1020"/>
    <s v="CUST7267"/>
    <x v="3"/>
    <s v="Dumbbells"/>
    <n v="4"/>
    <n v="399.72"/>
    <n v="7.0000000000000007E-2"/>
    <n v="1486.9584"/>
    <x v="19"/>
    <x v="3"/>
    <s v="Credit Card"/>
  </r>
  <r>
    <s v="ORD1021"/>
    <s v="CUST9346"/>
    <x v="3"/>
    <s v="Bicycle Helmet"/>
    <n v="1"/>
    <n v="138"/>
    <n v="0.01"/>
    <n v="136.62"/>
    <x v="1"/>
    <x v="2"/>
    <s v="Cash on Delivery"/>
  </r>
  <r>
    <s v="ORD1022"/>
    <s v="CUST4114"/>
    <x v="6"/>
    <s v="Shampoo"/>
    <n v="5"/>
    <n v="44.29"/>
    <n v="0.19"/>
    <n v="179.37450000000001"/>
    <x v="20"/>
    <x v="0"/>
    <s v="Net Banking"/>
  </r>
  <r>
    <s v="ORD1023"/>
    <s v="CUST5844"/>
    <x v="1"/>
    <s v="Jacket"/>
    <n v="4"/>
    <n v="157.47"/>
    <n v="0.09"/>
    <n v="573.19079999999997"/>
    <x v="21"/>
    <x v="2"/>
    <s v="UPI"/>
  </r>
  <r>
    <s v="ORD1024"/>
    <s v="CUST8752"/>
    <x v="3"/>
    <s v="Tennis Racket"/>
    <n v="3"/>
    <n v="476.48"/>
    <n v="0.2"/>
    <n v="1143.5519999999999"/>
    <x v="22"/>
    <x v="1"/>
    <s v="Credit Card"/>
  </r>
  <r>
    <s v="ORD1025"/>
    <s v="CUST2193"/>
    <x v="6"/>
    <s v="Perfume"/>
    <n v="4"/>
    <n v="82.31"/>
    <n v="0.27"/>
    <n v="240.34520000000001"/>
    <x v="15"/>
    <x v="4"/>
    <s v="Debit Card"/>
  </r>
  <r>
    <s v="ORD1026"/>
    <s v="CUST8611"/>
    <x v="1"/>
    <s v="Football"/>
    <n v="4"/>
    <n v="446.8"/>
    <n v="0.25"/>
    <n v="1340.4"/>
    <x v="23"/>
    <x v="2"/>
    <s v="Net Banking"/>
  </r>
  <r>
    <s v="ORD1027"/>
    <s v="CUST5543"/>
    <x v="4"/>
    <s v="Puzzle"/>
    <n v="3"/>
    <n v="150.01"/>
    <n v="0.1"/>
    <n v="405.02699999999999"/>
    <x v="24"/>
    <x v="4"/>
    <s v="Debit Card"/>
  </r>
  <r>
    <s v="ORD1028"/>
    <s v="CUST4505"/>
    <x v="5"/>
    <s v="Vacuum Cleaner"/>
    <n v="1"/>
    <n v="200.84"/>
    <n v="0.26"/>
    <n v="148.6216"/>
    <x v="25"/>
    <x v="1"/>
    <s v="Net Banking"/>
  </r>
  <r>
    <s v="ORD1029"/>
    <s v="CUST7865"/>
    <x v="6"/>
    <s v="Perfume"/>
    <n v="2"/>
    <n v="223.56"/>
    <n v="0.12"/>
    <n v="393.46559999999999"/>
    <x v="26"/>
    <x v="2"/>
    <s v="Debit Card"/>
  </r>
  <r>
    <s v="ORD1030"/>
    <s v="CUST7455"/>
    <x v="6"/>
    <s v="Lipstick"/>
    <n v="4"/>
    <n v="99.05"/>
    <n v="0.11"/>
    <n v="352.61799999999999"/>
    <x v="27"/>
    <x v="2"/>
    <s v="Net Banking"/>
  </r>
  <r>
    <s v="ORD1031"/>
    <s v="CUST5133"/>
    <x v="5"/>
    <s v="Novel"/>
    <n v="1"/>
    <n v="43.62"/>
    <n v="0.23"/>
    <n v="33.587400000000002"/>
    <x v="28"/>
    <x v="0"/>
    <s v="Debit Card"/>
  </r>
  <r>
    <s v="ORD1032"/>
    <s v="CUST2874"/>
    <x v="1"/>
    <s v="Jacket"/>
    <n v="3"/>
    <n v="482.23"/>
    <n v="0.23"/>
    <n v="1113.9512999999999"/>
    <x v="29"/>
    <x v="0"/>
    <s v="Credit Card"/>
  </r>
  <r>
    <s v="ORD1033"/>
    <s v="CUST7149"/>
    <x v="6"/>
    <s v="Foundation"/>
    <n v="2"/>
    <n v="157.78"/>
    <n v="0.24"/>
    <n v="239.82560000000001"/>
    <x v="30"/>
    <x v="0"/>
    <s v="UPI"/>
  </r>
  <r>
    <s v="ORD1034"/>
    <s v="CUST6590"/>
    <x v="5"/>
    <s v="Dumbbells"/>
    <n v="3"/>
    <n v="223.39"/>
    <n v="0.18"/>
    <n v="549.5394"/>
    <x v="31"/>
    <x v="2"/>
    <s v="Cash on Delivery"/>
  </r>
  <r>
    <s v="ORD1035"/>
    <s v="CUST2419"/>
    <x v="5"/>
    <s v="Biography"/>
    <n v="5"/>
    <n v="252.21"/>
    <n v="0.05"/>
    <n v="1197.9974999999999"/>
    <x v="32"/>
    <x v="3"/>
    <s v="Cash on Delivery"/>
  </r>
  <r>
    <s v="ORD1036"/>
    <s v="CUST1166"/>
    <x v="1"/>
    <s v="T-shirt"/>
    <n v="4"/>
    <n v="127.76"/>
    <n v="0.19"/>
    <n v="413.94240000000002"/>
    <x v="33"/>
    <x v="3"/>
    <s v="Debit Card"/>
  </r>
  <r>
    <s v="ORD1037"/>
    <s v="CUST7046"/>
    <x v="4"/>
    <s v="Lego Set"/>
    <n v="5"/>
    <n v="232.34"/>
    <n v="0.08"/>
    <n v="1068.7639999999999"/>
    <x v="34"/>
    <x v="1"/>
    <s v="Cash on Delivery"/>
  </r>
  <r>
    <s v="ORD1038"/>
    <s v="CUST4138"/>
    <x v="5"/>
    <s v="Science Fiction"/>
    <n v="5"/>
    <n v="417.99"/>
    <n v="7.0000000000000007E-2"/>
    <n v="1943.6534999999999"/>
    <x v="35"/>
    <x v="3"/>
    <s v="Credit Card"/>
  </r>
  <r>
    <s v="ORD1039"/>
    <s v="CUST3068"/>
    <x v="3"/>
    <s v="Dumbbells"/>
    <n v="1"/>
    <n v="225.83"/>
    <n v="0.28999999999999998"/>
    <n v="160.33930000000001"/>
    <x v="36"/>
    <x v="1"/>
    <s v="UPI"/>
  </r>
  <r>
    <s v="ORD1040"/>
    <s v="CUST1878"/>
    <x v="3"/>
    <s v="Bicycle Helmet"/>
    <n v="1"/>
    <n v="384.58"/>
    <n v="0.23"/>
    <n v="296.1266"/>
    <x v="37"/>
    <x v="0"/>
    <s v="UPI"/>
  </r>
  <r>
    <s v="ORD1041"/>
    <s v="CUST2625"/>
    <x v="1"/>
    <s v="Jeans"/>
    <n v="1"/>
    <n v="280.48"/>
    <n v="0"/>
    <n v="280.48"/>
    <x v="38"/>
    <x v="3"/>
    <s v="Credit Card"/>
  </r>
  <r>
    <s v="ORD1042"/>
    <s v="CUST8438"/>
    <x v="1"/>
    <s v="Vacuum Cleaner"/>
    <n v="2"/>
    <n v="120.16"/>
    <n v="0.27"/>
    <n v="175.43360000000001"/>
    <x v="39"/>
    <x v="4"/>
    <s v="Net Banking"/>
  </r>
  <r>
    <s v="ORD1043"/>
    <s v="CUST5728"/>
    <x v="5"/>
    <s v="Science Fiction"/>
    <n v="3"/>
    <n v="303.04000000000002"/>
    <n v="0.22"/>
    <n v="709.11360000000013"/>
    <x v="0"/>
    <x v="5"/>
    <s v="Cash on Delivery"/>
  </r>
  <r>
    <s v="ORD1044"/>
    <s v="CUST5415"/>
    <x v="3"/>
    <s v="Tennis Racket"/>
    <n v="4"/>
    <n v="296.81"/>
    <n v="0.28999999999999998"/>
    <n v="842.94039999999995"/>
    <x v="40"/>
    <x v="3"/>
    <s v="Credit Card"/>
  </r>
  <r>
    <s v="ORD1045"/>
    <s v="CUST9117"/>
    <x v="5"/>
    <s v="Cookbook"/>
    <n v="3"/>
    <n v="66.8"/>
    <n v="0.26"/>
    <n v="148.29599999999999"/>
    <x v="41"/>
    <x v="2"/>
    <s v="Credit Card"/>
  </r>
  <r>
    <s v="ORD1046"/>
    <s v="CUST9167"/>
    <x v="3"/>
    <s v="Football"/>
    <n v="5"/>
    <n v="224.68"/>
    <n v="0.04"/>
    <n v="1078.4639999999999"/>
    <x v="42"/>
    <x v="4"/>
    <s v="Net Banking"/>
  </r>
  <r>
    <s v="ORD1047"/>
    <s v="CUST2527"/>
    <x v="3"/>
    <s v="Football"/>
    <n v="1"/>
    <n v="361.14"/>
    <n v="0.12"/>
    <n v="317.8032"/>
    <x v="43"/>
    <x v="2"/>
    <s v="Cash on Delivery"/>
  </r>
  <r>
    <s v="ORD1048"/>
    <s v="CUST9327"/>
    <x v="1"/>
    <s v="T-shirt"/>
    <n v="4"/>
    <n v="258.79000000000002"/>
    <n v="0.08"/>
    <n v="952.34720000000016"/>
    <x v="44"/>
    <x v="4"/>
    <s v="UPI"/>
  </r>
  <r>
    <s v="ORD1049"/>
    <s v="CUST9903"/>
    <x v="0"/>
    <s v="Microwave"/>
    <n v="2"/>
    <n v="390.02"/>
    <n v="0.1"/>
    <n v="702.03599999999994"/>
    <x v="45"/>
    <x v="4"/>
    <s v="UPI"/>
  </r>
  <r>
    <s v="ORD1050"/>
    <s v="CUST6439"/>
    <x v="3"/>
    <s v="Dumbbells"/>
    <n v="4"/>
    <n v="210.89"/>
    <n v="0.02"/>
    <n v="826.6887999999999"/>
    <x v="46"/>
    <x v="0"/>
    <s v="UPI"/>
  </r>
  <r>
    <s v="ORD1051"/>
    <s v="CUST9742"/>
    <x v="0"/>
    <s v="Cookware Set"/>
    <n v="1"/>
    <n v="345.36"/>
    <n v="0.3"/>
    <n v="241.75200000000001"/>
    <x v="47"/>
    <x v="1"/>
    <s v="UPI"/>
  </r>
  <r>
    <s v="ORD1052"/>
    <s v="CUST1474"/>
    <x v="3"/>
    <s v="Camera"/>
    <n v="4"/>
    <n v="211.91"/>
    <n v="0.05"/>
    <n v="848.92914033359784"/>
    <x v="48"/>
    <x v="2"/>
    <s v="Cash on Delivery"/>
  </r>
  <r>
    <s v="ORD1053"/>
    <s v="CUST5161"/>
    <x v="6"/>
    <s v="Lipstick"/>
    <n v="4"/>
    <n v="87.41"/>
    <n v="0.28000000000000003"/>
    <n v="251.74080000000001"/>
    <x v="49"/>
    <x v="3"/>
    <s v="UPI"/>
  </r>
  <r>
    <s v="ORD1054"/>
    <s v="CUST7302"/>
    <x v="2"/>
    <s v="Smartphone"/>
    <n v="3"/>
    <n v="154.66"/>
    <n v="0.08"/>
    <n v="426.86160000000001"/>
    <x v="50"/>
    <x v="0"/>
    <s v="UPI"/>
  </r>
  <r>
    <s v="ORD1055"/>
    <s v="CUST4770"/>
    <x v="0"/>
    <s v="Unknown"/>
    <n v="5"/>
    <n v="363.25"/>
    <n v="0.19"/>
    <n v="1471.1624999999999"/>
    <x v="51"/>
    <x v="3"/>
    <s v="UPI"/>
  </r>
  <r>
    <s v="ORD1056"/>
    <s v="CUST3153"/>
    <x v="0"/>
    <s v="Cookware Set"/>
    <n v="2"/>
    <n v="457.61"/>
    <n v="0.08"/>
    <n v="842.00240000000008"/>
    <x v="52"/>
    <x v="3"/>
    <s v="Credit Card"/>
  </r>
  <r>
    <s v="ORD1057"/>
    <s v="CUST4696"/>
    <x v="6"/>
    <s v="Shampoo"/>
    <n v="5"/>
    <n v="203.34"/>
    <n v="0.16"/>
    <n v="854.02800000000002"/>
    <x v="53"/>
    <x v="0"/>
    <s v="UPI"/>
  </r>
  <r>
    <s v="ORD1058"/>
    <s v="CUST2775"/>
    <x v="5"/>
    <s v="Novel"/>
    <n v="5"/>
    <n v="118.47"/>
    <n v="0.19"/>
    <n v="479.80349999999999"/>
    <x v="54"/>
    <x v="2"/>
    <s v="Credit Card"/>
  </r>
  <r>
    <s v="ORD1059"/>
    <s v="CUST5986"/>
    <x v="2"/>
    <s v="Laptop"/>
    <n v="5"/>
    <n v="191.8"/>
    <n v="0.18"/>
    <n v="786.38000000000011"/>
    <x v="55"/>
    <x v="2"/>
    <s v="Cash on Delivery"/>
  </r>
  <r>
    <s v="ORD1060"/>
    <s v="CUST1536"/>
    <x v="1"/>
    <s v="Jacket"/>
    <n v="2"/>
    <n v="345.98"/>
    <n v="0.02"/>
    <n v="678.12080000000003"/>
    <x v="56"/>
    <x v="1"/>
    <s v="Debit Card"/>
  </r>
  <r>
    <s v="ORD1061"/>
    <s v="CUST1349"/>
    <x v="0"/>
    <s v="Jeans"/>
    <n v="2"/>
    <n v="281.56"/>
    <n v="0.24"/>
    <n v="427.97120000000001"/>
    <x v="57"/>
    <x v="3"/>
    <s v="Debit Card"/>
  </r>
  <r>
    <s v="ORD1062"/>
    <s v="CUST3858"/>
    <x v="3"/>
    <s v="Football"/>
    <n v="3"/>
    <n v="17.73"/>
    <n v="0.02"/>
    <n v="52.126199999999997"/>
    <x v="58"/>
    <x v="1"/>
    <s v="UPI"/>
  </r>
  <r>
    <s v="ORD1063"/>
    <s v="CUST2786"/>
    <x v="1"/>
    <s v="Sweater"/>
    <n v="3"/>
    <n v="482.37"/>
    <n v="0.3"/>
    <n v="1012.977"/>
    <x v="59"/>
    <x v="1"/>
    <s v="UPI"/>
  </r>
  <r>
    <s v="ORD1064"/>
    <s v="CUST2323"/>
    <x v="1"/>
    <s v="T-shirt"/>
    <n v="5"/>
    <n v="302.72000000000003"/>
    <n v="0.14000000000000001"/>
    <n v="1301.6959999999999"/>
    <x v="60"/>
    <x v="0"/>
    <s v="Debit Card"/>
  </r>
  <r>
    <s v="ORD1065"/>
    <s v="CUST7779"/>
    <x v="5"/>
    <s v="Mystery"/>
    <n v="1"/>
    <n v="335.9"/>
    <n v="0.28999999999999998"/>
    <n v="238.489"/>
    <x v="61"/>
    <x v="1"/>
    <s v="Credit Card"/>
  </r>
  <r>
    <s v="ORD1066"/>
    <s v="CUST7105"/>
    <x v="4"/>
    <s v="Action Figure"/>
    <n v="5"/>
    <n v="211.3"/>
    <n v="0.26"/>
    <n v="781.81"/>
    <x v="62"/>
    <x v="3"/>
    <s v="Credit Card"/>
  </r>
  <r>
    <s v="ORD1067"/>
    <s v="CUST8900"/>
    <x v="2"/>
    <s v="Unknown"/>
    <n v="3"/>
    <n v="291.31"/>
    <n v="0.25"/>
    <n v="655.44749999999999"/>
    <x v="63"/>
    <x v="0"/>
    <s v="Net Banking"/>
  </r>
  <r>
    <s v="ORD1068"/>
    <s v="CUST6062"/>
    <x v="0"/>
    <s v="Toaster"/>
    <n v="2"/>
    <n v="373.07"/>
    <n v="0.03"/>
    <n v="723.75580000000002"/>
    <x v="64"/>
    <x v="2"/>
    <s v="Net Banking"/>
  </r>
  <r>
    <s v="ORD1069"/>
    <s v="CUST6314"/>
    <x v="4"/>
    <s v="Doll"/>
    <n v="1"/>
    <n v="312.74"/>
    <n v="0.08"/>
    <n v="287.7208"/>
    <x v="65"/>
    <x v="2"/>
    <s v="Net Banking"/>
  </r>
  <r>
    <s v="ORD1070"/>
    <s v="CUST6655"/>
    <x v="0"/>
    <s v="Vacuum Cleaner"/>
    <n v="3"/>
    <n v="492.38"/>
    <n v="0"/>
    <n v="1477.14"/>
    <x v="66"/>
    <x v="5"/>
    <s v="Net Banking"/>
  </r>
  <r>
    <s v="ORD1071"/>
    <s v="CUST8055"/>
    <x v="5"/>
    <s v="Cookbook"/>
    <n v="5"/>
    <n v="432.26"/>
    <n v="0.13"/>
    <n v="1880.3309999999999"/>
    <x v="36"/>
    <x v="0"/>
    <s v="UPI"/>
  </r>
  <r>
    <s v="ORD1072"/>
    <s v="CUST7843"/>
    <x v="5"/>
    <s v="Novel"/>
    <n v="2"/>
    <n v="460.69"/>
    <n v="0.13"/>
    <n v="801.60059999999999"/>
    <x v="67"/>
    <x v="0"/>
    <s v="Credit Card"/>
  </r>
  <r>
    <s v="ORD1073"/>
    <s v="CUST6562"/>
    <x v="3"/>
    <s v="Tennis Racket"/>
    <n v="1"/>
    <n v="181.19"/>
    <n v="7.0000000000000007E-2"/>
    <n v="168.5067"/>
    <x v="22"/>
    <x v="0"/>
    <s v="Debit Card"/>
  </r>
  <r>
    <s v="ORD1074"/>
    <s v="CUST3902"/>
    <x v="6"/>
    <s v="Shampoo"/>
    <n v="5"/>
    <n v="442.2"/>
    <n v="0.26"/>
    <n v="1636.14"/>
    <x v="68"/>
    <x v="1"/>
    <s v="UPI"/>
  </r>
  <r>
    <s v="ORD1075"/>
    <s v="CUST5500"/>
    <x v="0"/>
    <s v="Vacuum Cleaner"/>
    <n v="4"/>
    <n v="243.88561461794012"/>
    <n v="0.02"/>
    <n v="956.03160930232525"/>
    <x v="69"/>
    <x v="2"/>
    <s v="Cash on Delivery"/>
  </r>
  <r>
    <s v="ORD1076"/>
    <s v="CUST1672"/>
    <x v="3"/>
    <s v="Unknown"/>
    <n v="3"/>
    <n v="479.28"/>
    <n v="0.03"/>
    <n v="1394.7048"/>
    <x v="70"/>
    <x v="0"/>
    <s v="Debit Card"/>
  </r>
  <r>
    <s v="ORD1077"/>
    <s v="CUST8199"/>
    <x v="4"/>
    <s v="Board Game"/>
    <n v="3"/>
    <n v="175.8"/>
    <n v="0.24"/>
    <n v="400.82400000000013"/>
    <x v="71"/>
    <x v="1"/>
    <s v="Cash on Delivery"/>
  </r>
  <r>
    <s v="ORD1078"/>
    <s v="CUST3463"/>
    <x v="4"/>
    <s v="Board Game"/>
    <n v="3"/>
    <n v="357.33"/>
    <n v="0.09"/>
    <n v="975.51089999999999"/>
    <x v="72"/>
    <x v="0"/>
    <s v="Credit Card"/>
  </r>
  <r>
    <s v="ORD1079"/>
    <s v="CUST6928"/>
    <x v="0"/>
    <s v="Jeans"/>
    <n v="4"/>
    <n v="77.41"/>
    <n v="0.09"/>
    <n v="281.7724"/>
    <x v="73"/>
    <x v="3"/>
    <s v="Cash on Delivery"/>
  </r>
  <r>
    <s v="ORD1080"/>
    <s v="CUST3658"/>
    <x v="6"/>
    <s v="Perfume"/>
    <n v="2"/>
    <n v="188.51"/>
    <n v="0.28999999999999998"/>
    <n v="267.68419999999998"/>
    <x v="74"/>
    <x v="0"/>
    <s v="Debit Card"/>
  </r>
  <r>
    <s v="ORD1081"/>
    <s v="CUST8684"/>
    <x v="1"/>
    <s v="Dress"/>
    <n v="5"/>
    <n v="148.07"/>
    <n v="0.15"/>
    <n v="629.2974999999999"/>
    <x v="75"/>
    <x v="0"/>
    <s v="Debit Card"/>
  </r>
  <r>
    <s v="ORD1082"/>
    <s v="CUST8873"/>
    <x v="4"/>
    <s v="Action Figure"/>
    <n v="5"/>
    <n v="383.93"/>
    <n v="0.13"/>
    <n v="1670.0954999999999"/>
    <x v="67"/>
    <x v="4"/>
    <s v="UPI"/>
  </r>
  <r>
    <s v="ORD1083"/>
    <s v="CUST7797"/>
    <x v="4"/>
    <s v="Microwave"/>
    <n v="1"/>
    <n v="166.16"/>
    <n v="0.25"/>
    <n v="124.62"/>
    <x v="76"/>
    <x v="1"/>
    <s v="Net Banking"/>
  </r>
  <r>
    <s v="ORD1084"/>
    <s v="CUST3273"/>
    <x v="5"/>
    <s v="Mystery"/>
    <n v="1"/>
    <n v="419.13"/>
    <n v="0.03"/>
    <n v="406.55610000000001"/>
    <x v="77"/>
    <x v="1"/>
    <s v="Debit Card"/>
  </r>
  <r>
    <s v="ORD1085"/>
    <s v="CUST8489"/>
    <x v="3"/>
    <s v="Cookbook"/>
    <n v="5"/>
    <n v="152.72"/>
    <n v="0.18"/>
    <n v="626.15200000000004"/>
    <x v="78"/>
    <x v="1"/>
    <s v="Cash on Delivery"/>
  </r>
  <r>
    <s v="ORD1086"/>
    <s v="CUST9618"/>
    <x v="3"/>
    <s v="Bicycle Helmet"/>
    <n v="4"/>
    <n v="243.88561461794012"/>
    <n v="0.08"/>
    <n v="897.49906179401967"/>
    <x v="79"/>
    <x v="1"/>
    <s v="Net Banking"/>
  </r>
  <r>
    <s v="ORD1087"/>
    <s v="CUST2698"/>
    <x v="6"/>
    <s v="Unknown"/>
    <n v="3"/>
    <n v="95.79"/>
    <n v="0.28999999999999998"/>
    <n v="204.03270000000001"/>
    <x v="80"/>
    <x v="1"/>
    <s v="UPI"/>
  </r>
  <r>
    <s v="ORD1088"/>
    <s v="CUST4268"/>
    <x v="0"/>
    <s v="Blender"/>
    <n v="5"/>
    <n v="379.11"/>
    <n v="0.09"/>
    <n v="1724.9504999999999"/>
    <x v="81"/>
    <x v="3"/>
    <s v="Credit Card"/>
  </r>
  <r>
    <s v="ORD1089"/>
    <s v="CUST7553"/>
    <x v="5"/>
    <s v="Science Fiction"/>
    <n v="4"/>
    <n v="400.67"/>
    <n v="0.24"/>
    <n v="1218.0368000000001"/>
    <x v="82"/>
    <x v="0"/>
    <s v="Debit Card"/>
  </r>
  <r>
    <s v="ORD1090"/>
    <s v="CUST2311"/>
    <x v="0"/>
    <s v="Blender"/>
    <n v="4"/>
    <n v="182.26"/>
    <n v="0.22"/>
    <n v="568.65120000000002"/>
    <x v="83"/>
    <x v="3"/>
    <s v="Credit Card"/>
  </r>
  <r>
    <s v="ORD1091"/>
    <s v="CUST6952"/>
    <x v="6"/>
    <s v="Foundation"/>
    <n v="2"/>
    <n v="243.88561461794012"/>
    <n v="0.11"/>
    <n v="434.11639401993341"/>
    <x v="84"/>
    <x v="0"/>
    <s v="Debit Card"/>
  </r>
  <r>
    <s v="ORD1092"/>
    <s v="CUST7095"/>
    <x v="2"/>
    <s v="Smartwatch"/>
    <n v="3"/>
    <n v="146.56"/>
    <n v="0.01"/>
    <n v="435.28320000000002"/>
    <x v="85"/>
    <x v="0"/>
    <s v="Credit Card"/>
  </r>
  <r>
    <s v="ORD1093"/>
    <s v="CUST8311"/>
    <x v="4"/>
    <s v="Lego Set"/>
    <n v="4"/>
    <n v="427.88"/>
    <n v="0.05"/>
    <n v="1625.944"/>
    <x v="86"/>
    <x v="3"/>
    <s v="Credit Card"/>
  </r>
  <r>
    <s v="ORD1094"/>
    <s v="CUST5914"/>
    <x v="6"/>
    <s v="Foundation"/>
    <n v="5"/>
    <n v="108.48"/>
    <n v="7.0000000000000007E-2"/>
    <n v="504.43200000000002"/>
    <x v="87"/>
    <x v="2"/>
    <s v="Cash on Delivery"/>
  </r>
  <r>
    <s v="ORD1095"/>
    <s v="CUST2077"/>
    <x v="6"/>
    <s v="Shampoo"/>
    <n v="4"/>
    <n v="165.34"/>
    <n v="0.13"/>
    <n v="575.38319999999999"/>
    <x v="88"/>
    <x v="0"/>
    <s v="Cash on Delivery"/>
  </r>
  <r>
    <s v="ORD1096"/>
    <s v="CUST8088"/>
    <x v="3"/>
    <s v="Football"/>
    <n v="5"/>
    <n v="89.36"/>
    <n v="0.1"/>
    <n v="402.12"/>
    <x v="89"/>
    <x v="3"/>
    <s v="Debit Card"/>
  </r>
  <r>
    <s v="ORD1097"/>
    <s v="CUST3050"/>
    <x v="4"/>
    <s v="Doll"/>
    <n v="2"/>
    <n v="315.99"/>
    <n v="0.25"/>
    <n v="473.98500000000001"/>
    <x v="90"/>
    <x v="1"/>
    <s v="Cash on Delivery"/>
  </r>
  <r>
    <s v="ORD1098"/>
    <s v="CUST7825"/>
    <x v="2"/>
    <s v="Headphones"/>
    <n v="5"/>
    <n v="158.03"/>
    <n v="0.24"/>
    <n v="600.51400000000001"/>
    <x v="91"/>
    <x v="1"/>
    <s v="Credit Card"/>
  </r>
  <r>
    <s v="ORD1099"/>
    <s v="CUST8609"/>
    <x v="4"/>
    <s v="Board Game"/>
    <n v="3"/>
    <n v="74.08"/>
    <n v="0.15"/>
    <n v="188.904"/>
    <x v="92"/>
    <x v="1"/>
    <s v="Net Banking"/>
  </r>
  <r>
    <s v="ORD1100"/>
    <s v="CUST1829"/>
    <x v="5"/>
    <s v="Cookbook"/>
    <n v="2"/>
    <n v="363.35"/>
    <n v="0.23"/>
    <n v="559.55900000000008"/>
    <x v="93"/>
    <x v="2"/>
    <s v="Net Banking"/>
  </r>
  <r>
    <s v="ORD1101"/>
    <s v="CUST7442"/>
    <x v="1"/>
    <s v="Jeans"/>
    <n v="1"/>
    <n v="302.77999999999997"/>
    <n v="0.09"/>
    <n v="281.79715713418909"/>
    <x v="94"/>
    <x v="3"/>
    <s v="UPI"/>
  </r>
  <r>
    <s v="ORD1102"/>
    <s v="CUST4189"/>
    <x v="0"/>
    <s v="Toaster"/>
    <n v="4"/>
    <n v="315.39"/>
    <n v="0.04"/>
    <n v="1230.3843184799159"/>
    <x v="95"/>
    <x v="4"/>
    <s v="Debit Card"/>
  </r>
  <r>
    <s v="ORD1103"/>
    <s v="CUST1659"/>
    <x v="1"/>
    <s v="Moisturizer"/>
    <n v="5"/>
    <n v="447.63"/>
    <n v="0.1"/>
    <n v="2014.335"/>
    <x v="96"/>
    <x v="0"/>
    <s v="Net Banking"/>
  </r>
  <r>
    <s v="ORD1104"/>
    <s v="CUST9351"/>
    <x v="6"/>
    <s v="Perfume"/>
    <n v="1"/>
    <n v="63.71"/>
    <n v="0.18"/>
    <n v="52.242199999999997"/>
    <x v="97"/>
    <x v="0"/>
    <s v="UPI"/>
  </r>
  <r>
    <s v="ORD1105"/>
    <s v="CUST4728"/>
    <x v="4"/>
    <s v="Puzzle"/>
    <n v="5"/>
    <n v="343.56"/>
    <n v="0.17"/>
    <n v="1425.7739999999999"/>
    <x v="98"/>
    <x v="2"/>
    <s v="Net Banking"/>
  </r>
  <r>
    <s v="ORD1106"/>
    <s v="CUST4340"/>
    <x v="3"/>
    <s v="Bicycle Helmet"/>
    <n v="1"/>
    <n v="284.83"/>
    <n v="0.16"/>
    <n v="239.25720000000001"/>
    <x v="99"/>
    <x v="0"/>
    <s v="Net Banking"/>
  </r>
  <r>
    <s v="ORD1107"/>
    <s v="CUST5331"/>
    <x v="1"/>
    <s v="Jeans"/>
    <n v="3"/>
    <n v="491.31"/>
    <n v="0.21"/>
    <n v="1164.4047"/>
    <x v="100"/>
    <x v="2"/>
    <s v="Net Banking"/>
  </r>
  <r>
    <s v="ORD1108"/>
    <s v="CUST5480"/>
    <x v="4"/>
    <s v="Doll"/>
    <n v="4"/>
    <n v="404.26"/>
    <n v="0.01"/>
    <n v="1600.8696"/>
    <x v="101"/>
    <x v="2"/>
    <s v="Net Banking"/>
  </r>
  <r>
    <s v="ORD1109"/>
    <s v="CUST9824"/>
    <x v="4"/>
    <s v="Lego Set"/>
    <n v="5"/>
    <n v="338.22"/>
    <n v="0.19"/>
    <n v="1391.0427669363651"/>
    <x v="43"/>
    <x v="4"/>
    <s v="Credit Card"/>
  </r>
  <r>
    <s v="ORD1110"/>
    <s v="CUST3587"/>
    <x v="5"/>
    <s v="Mystery"/>
    <n v="3"/>
    <n v="38.99"/>
    <n v="0.2"/>
    <n v="93.576000000000008"/>
    <x v="102"/>
    <x v="5"/>
    <s v="Debit Card"/>
  </r>
  <r>
    <s v="ORD1111"/>
    <s v="CUST7504"/>
    <x v="1"/>
    <s v="Dress"/>
    <n v="1"/>
    <n v="62.58"/>
    <n v="0.09"/>
    <n v="56.947800000000001"/>
    <x v="103"/>
    <x v="4"/>
    <s v="Cash on Delivery"/>
  </r>
  <r>
    <s v="ORD1112"/>
    <s v="CUST2845"/>
    <x v="6"/>
    <s v="Shampoo"/>
    <n v="2"/>
    <n v="397.48"/>
    <n v="0.05"/>
    <n v="755.21199999999999"/>
    <x v="26"/>
    <x v="0"/>
    <s v="Net Banking"/>
  </r>
  <r>
    <s v="ORD1113"/>
    <s v="CUST4027"/>
    <x v="5"/>
    <s v="Science Fiction"/>
    <n v="1"/>
    <n v="228.9"/>
    <n v="0.28999999999999998"/>
    <n v="162.51900000000001"/>
    <x v="104"/>
    <x v="3"/>
    <s v="Net Banking"/>
  </r>
  <r>
    <s v="ORD1114"/>
    <s v="CUST2936"/>
    <x v="1"/>
    <s v="Jacket"/>
    <n v="3"/>
    <n v="470.91"/>
    <n v="0.18"/>
    <n v="1158.4386"/>
    <x v="105"/>
    <x v="4"/>
    <s v="UPI"/>
  </r>
  <r>
    <s v="ORD1115"/>
    <s v="CUST7813"/>
    <x v="5"/>
    <s v="Cookbook"/>
    <n v="2"/>
    <n v="301.95"/>
    <n v="0.16"/>
    <n v="507.27600000000001"/>
    <x v="106"/>
    <x v="0"/>
    <s v="Credit Card"/>
  </r>
  <r>
    <s v="ORD1116"/>
    <s v="CUST9281"/>
    <x v="4"/>
    <s v="Board Game"/>
    <n v="5"/>
    <n v="110.65"/>
    <n v="0.03"/>
    <n v="536.65250000000003"/>
    <x v="107"/>
    <x v="4"/>
    <s v="Cash on Delivery"/>
  </r>
  <r>
    <s v="ORD1117"/>
    <s v="CUST8575"/>
    <x v="0"/>
    <s v="Toaster"/>
    <n v="1"/>
    <n v="32.19"/>
    <n v="0.21"/>
    <n v="25.430099999999999"/>
    <x v="9"/>
    <x v="2"/>
    <s v="Credit Card"/>
  </r>
  <r>
    <s v="ORD1118"/>
    <s v="CUST3218"/>
    <x v="6"/>
    <s v="Shampoo"/>
    <n v="4"/>
    <n v="454.32"/>
    <n v="0.02"/>
    <n v="1780.9344000000001"/>
    <x v="108"/>
    <x v="3"/>
    <s v="Credit Card"/>
  </r>
  <r>
    <s v="ORD1119"/>
    <s v="CUST9664"/>
    <x v="1"/>
    <s v="T-shirt"/>
    <n v="3"/>
    <n v="276.77999999999997"/>
    <n v="0.25"/>
    <n v="622.75499999999988"/>
    <x v="109"/>
    <x v="3"/>
    <s v="Debit Card"/>
  </r>
  <r>
    <s v="ORD1120"/>
    <s v="CUST2848"/>
    <x v="6"/>
    <s v="Cookbook"/>
    <n v="1"/>
    <n v="59.44"/>
    <n v="0.13"/>
    <n v="51.712799999999987"/>
    <x v="110"/>
    <x v="1"/>
    <s v="UPI"/>
  </r>
  <r>
    <s v="ORD1121"/>
    <s v="CUST1924"/>
    <x v="0"/>
    <s v="Microwave"/>
    <n v="5"/>
    <n v="388.54"/>
    <n v="7.0000000000000007E-2"/>
    <n v="1806.711"/>
    <x v="111"/>
    <x v="2"/>
    <s v="Net Banking"/>
  </r>
  <r>
    <s v="ORD1122"/>
    <s v="CUST3869"/>
    <x v="5"/>
    <s v="Cookbook"/>
    <n v="3"/>
    <n v="166.18"/>
    <n v="0.12"/>
    <n v="438.71519999999998"/>
    <x v="112"/>
    <x v="4"/>
    <s v="Debit Card"/>
  </r>
  <r>
    <s v="ORD1123"/>
    <s v="CUST8586"/>
    <x v="4"/>
    <s v="Puzzle"/>
    <n v="5"/>
    <n v="134.94999999999999"/>
    <n v="0.19"/>
    <n v="546.54750000000001"/>
    <x v="113"/>
    <x v="0"/>
    <s v="Debit Card"/>
  </r>
  <r>
    <s v="ORD1124"/>
    <s v="CUST1647"/>
    <x v="1"/>
    <s v="Sweater"/>
    <n v="5"/>
    <n v="436.04"/>
    <n v="0.09"/>
    <n v="1983.982"/>
    <x v="66"/>
    <x v="1"/>
    <s v="UPI"/>
  </r>
  <r>
    <s v="ORD1125"/>
    <s v="CUST4350"/>
    <x v="1"/>
    <s v="Sweater"/>
    <n v="3"/>
    <n v="327.87"/>
    <n v="0.08"/>
    <n v="904.9212"/>
    <x v="114"/>
    <x v="1"/>
    <s v="UPI"/>
  </r>
  <r>
    <s v="ORD1126"/>
    <s v="CUST4328"/>
    <x v="5"/>
    <s v="Novel"/>
    <n v="2"/>
    <n v="243.88561461794012"/>
    <n v="0.09"/>
    <n v="443.87181860465103"/>
    <x v="115"/>
    <x v="4"/>
    <s v="UPI"/>
  </r>
  <r>
    <s v="ORD1127"/>
    <s v="CUST6530"/>
    <x v="3"/>
    <s v="Dumbbells"/>
    <n v="4"/>
    <n v="399.54"/>
    <n v="0.04"/>
    <n v="1534.2336"/>
    <x v="112"/>
    <x v="0"/>
    <s v="Credit Card"/>
  </r>
  <r>
    <s v="ORD1128"/>
    <s v="CUST1794"/>
    <x v="5"/>
    <s v="Unknown"/>
    <n v="2"/>
    <n v="14.48"/>
    <n v="0.11"/>
    <n v="25.7744"/>
    <x v="116"/>
    <x v="2"/>
    <s v="Credit Card"/>
  </r>
  <r>
    <s v="ORD1129"/>
    <s v="CUST1194"/>
    <x v="6"/>
    <s v="Vacuum Cleaner"/>
    <n v="1"/>
    <n v="455.79"/>
    <n v="0.28000000000000003"/>
    <n v="328.16879999999998"/>
    <x v="92"/>
    <x v="0"/>
    <s v="Cash on Delivery"/>
  </r>
  <r>
    <s v="ORD1130"/>
    <s v="CUST7502"/>
    <x v="5"/>
    <s v="Cookbook"/>
    <n v="2"/>
    <n v="425.45"/>
    <n v="0.03"/>
    <n v="825.37299999999993"/>
    <x v="117"/>
    <x v="1"/>
    <s v="Credit Card"/>
  </r>
  <r>
    <s v="ORD1131"/>
    <s v="CUST8109"/>
    <x v="0"/>
    <s v="Vacuum Cleaner"/>
    <n v="1"/>
    <n v="451.62"/>
    <n v="0.08"/>
    <n v="415.49040000000002"/>
    <x v="118"/>
    <x v="0"/>
    <s v="Cash on Delivery"/>
  </r>
  <r>
    <s v="ORD1132"/>
    <s v="CUST6152"/>
    <x v="1"/>
    <s v="Board Game"/>
    <n v="4"/>
    <n v="286.33999999999997"/>
    <n v="0.2"/>
    <n v="916.28800000000001"/>
    <x v="119"/>
    <x v="1"/>
    <s v="Cash on Delivery"/>
  </r>
  <r>
    <s v="ORD1133"/>
    <s v="CUST2600"/>
    <x v="3"/>
    <s v="Football"/>
    <n v="5"/>
    <n v="169.92"/>
    <n v="0.24"/>
    <n v="645.69599999999991"/>
    <x v="120"/>
    <x v="0"/>
    <s v="UPI"/>
  </r>
  <r>
    <s v="ORD1134"/>
    <s v="CUST7227"/>
    <x v="4"/>
    <s v="Microwave"/>
    <n v="1"/>
    <n v="358.72"/>
    <n v="0.22"/>
    <n v="279.80160000000001"/>
    <x v="15"/>
    <x v="1"/>
    <s v="Net Banking"/>
  </r>
  <r>
    <s v="ORD1135"/>
    <s v="CUST2674"/>
    <x v="1"/>
    <s v="Jacket"/>
    <n v="5"/>
    <n v="53.91"/>
    <n v="0.18"/>
    <n v="221.03100000000001"/>
    <x v="121"/>
    <x v="3"/>
    <s v="UPI"/>
  </r>
  <r>
    <s v="ORD1136"/>
    <s v="CUST4977"/>
    <x v="1"/>
    <s v="Jacket"/>
    <n v="3"/>
    <n v="81.510000000000005"/>
    <n v="0.13"/>
    <n v="212.74109999999999"/>
    <x v="31"/>
    <x v="3"/>
    <s v="Net Banking"/>
  </r>
  <r>
    <s v="ORD1137"/>
    <s v="CUST9123"/>
    <x v="1"/>
    <s v="Jacket"/>
    <n v="3"/>
    <n v="172.79"/>
    <n v="0.24"/>
    <n v="393.96120000000002"/>
    <x v="122"/>
    <x v="0"/>
    <s v="Debit Card"/>
  </r>
  <r>
    <s v="ORD1138"/>
    <s v="CUST4290"/>
    <x v="1"/>
    <s v="Jacket"/>
    <n v="3"/>
    <n v="393.17"/>
    <n v="0.11"/>
    <n v="1049.7638999999999"/>
    <x v="123"/>
    <x v="1"/>
    <s v="Cash on Delivery"/>
  </r>
  <r>
    <s v="ORD1139"/>
    <s v="CUST3947"/>
    <x v="4"/>
    <s v="Action Figure"/>
    <n v="4"/>
    <n v="152.75"/>
    <n v="0.25"/>
    <n v="458.25"/>
    <x v="124"/>
    <x v="4"/>
    <s v="Net Banking"/>
  </r>
  <r>
    <s v="ORD1140"/>
    <s v="CUST7932"/>
    <x v="2"/>
    <s v="Headphones"/>
    <n v="4"/>
    <n v="462.51"/>
    <n v="0.16"/>
    <n v="1554.0336"/>
    <x v="125"/>
    <x v="1"/>
    <s v="Debit Card"/>
  </r>
  <r>
    <s v="ORD1141"/>
    <s v="CUST1725"/>
    <x v="6"/>
    <s v="Shampoo"/>
    <n v="3"/>
    <n v="58.32"/>
    <n v="0.15"/>
    <n v="148.71600000000001"/>
    <x v="126"/>
    <x v="2"/>
    <s v="Net Banking"/>
  </r>
  <r>
    <s v="ORD1142"/>
    <s v="CUST9199"/>
    <x v="2"/>
    <s v="Headphones"/>
    <n v="4"/>
    <n v="470.93"/>
    <n v="0.1"/>
    <n v="1695.348"/>
    <x v="127"/>
    <x v="3"/>
    <s v="UPI"/>
  </r>
  <r>
    <s v="ORD1143"/>
    <s v="CUST8412"/>
    <x v="0"/>
    <s v="Toaster"/>
    <n v="1"/>
    <n v="327.51"/>
    <n v="0.28000000000000003"/>
    <n v="235.80719999999999"/>
    <x v="128"/>
    <x v="0"/>
    <s v="Debit Card"/>
  </r>
  <r>
    <s v="ORD1144"/>
    <s v="CUST8570"/>
    <x v="5"/>
    <s v="Biography"/>
    <n v="4"/>
    <n v="310.91000000000003"/>
    <n v="0.13"/>
    <n v="1081.9667999999999"/>
    <x v="129"/>
    <x v="4"/>
    <s v="Net Banking"/>
  </r>
  <r>
    <s v="ORD1145"/>
    <s v="CUST2025"/>
    <x v="3"/>
    <s v="Bicycle Helmet"/>
    <n v="3"/>
    <n v="138.55000000000001"/>
    <n v="0.16"/>
    <n v="349.14600000000002"/>
    <x v="5"/>
    <x v="0"/>
    <s v="UPI"/>
  </r>
  <r>
    <s v="ORD1146"/>
    <s v="CUST8501"/>
    <x v="3"/>
    <s v="Yoga Mat"/>
    <n v="5"/>
    <n v="163.46"/>
    <n v="0.09"/>
    <n v="743.74300000000005"/>
    <x v="130"/>
    <x v="0"/>
    <s v="UPI"/>
  </r>
  <r>
    <s v="ORD1147"/>
    <s v="CUST7286"/>
    <x v="5"/>
    <s v="Cookbook"/>
    <n v="2"/>
    <n v="78.75"/>
    <n v="0.25"/>
    <n v="118.125"/>
    <x v="131"/>
    <x v="2"/>
    <s v="Debit Card"/>
  </r>
  <r>
    <s v="ORD1148"/>
    <s v="CUST9281"/>
    <x v="5"/>
    <s v="Mystery"/>
    <n v="4"/>
    <n v="287.04000000000002"/>
    <n v="0.09"/>
    <n v="1044.8255999999999"/>
    <x v="105"/>
    <x v="4"/>
    <s v="UPI"/>
  </r>
  <r>
    <s v="ORD1149"/>
    <s v="CUST9115"/>
    <x v="2"/>
    <s v="Smartwatch"/>
    <n v="5"/>
    <n v="380.83"/>
    <n v="0.16"/>
    <n v="1599.4860000000001"/>
    <x v="132"/>
    <x v="3"/>
    <s v="Credit Card"/>
  </r>
  <r>
    <s v="ORD1150"/>
    <s v="CUST2425"/>
    <x v="2"/>
    <s v="Smartphone"/>
    <n v="5"/>
    <n v="309.02999999999997"/>
    <n v="0.05"/>
    <n v="1467.8924999999999"/>
    <x v="127"/>
    <x v="1"/>
    <s v="Cash on Delivery"/>
  </r>
  <r>
    <s v="ORD1151"/>
    <s v="CUST9827"/>
    <x v="6"/>
    <s v="Moisturizer"/>
    <n v="3"/>
    <n v="377.55"/>
    <n v="0.28000000000000003"/>
    <n v="815.50800000000004"/>
    <x v="133"/>
    <x v="4"/>
    <s v="Debit Card"/>
  </r>
  <r>
    <s v="ORD1152"/>
    <s v="CUST5055"/>
    <x v="6"/>
    <s v="Shampoo"/>
    <n v="5"/>
    <n v="193.83"/>
    <n v="0.19"/>
    <n v="785.01150000000007"/>
    <x v="134"/>
    <x v="0"/>
    <s v="Net Banking"/>
  </r>
  <r>
    <s v="ORD1153"/>
    <s v="CUST8449"/>
    <x v="0"/>
    <s v="Vacuum Cleaner"/>
    <n v="3"/>
    <n v="351.67"/>
    <n v="0.24"/>
    <n v="801.80759999999998"/>
    <x v="135"/>
    <x v="2"/>
    <s v="Debit Card"/>
  </r>
  <r>
    <s v="ORD1154"/>
    <s v="CUST5646"/>
    <x v="4"/>
    <s v="Board Game"/>
    <n v="4"/>
    <n v="383.5"/>
    <n v="0.03"/>
    <n v="1487.98"/>
    <x v="136"/>
    <x v="5"/>
    <s v="Debit Card"/>
  </r>
  <r>
    <s v="ORD1155"/>
    <s v="CUST8009"/>
    <x v="6"/>
    <s v="Foundation"/>
    <n v="3"/>
    <n v="439.53"/>
    <n v="0.2"/>
    <n v="1054.8720000000001"/>
    <x v="137"/>
    <x v="1"/>
    <s v="UPI"/>
  </r>
  <r>
    <s v="ORD1156"/>
    <s v="CUST4836"/>
    <x v="2"/>
    <s v="Laptop"/>
    <n v="4"/>
    <n v="120.83"/>
    <n v="0"/>
    <n v="483.32"/>
    <x v="138"/>
    <x v="4"/>
    <s v="UPI"/>
  </r>
  <r>
    <s v="ORD1157"/>
    <s v="CUST2678"/>
    <x v="0"/>
    <s v="Blender"/>
    <n v="2"/>
    <n v="286.01"/>
    <n v="0.13"/>
    <n v="497.6574"/>
    <x v="139"/>
    <x v="2"/>
    <s v="Cash on Delivery"/>
  </r>
  <r>
    <s v="ORD1158"/>
    <s v="CUST2420"/>
    <x v="1"/>
    <s v="T-shirt"/>
    <n v="4"/>
    <n v="164.11"/>
    <n v="7.0000000000000007E-2"/>
    <n v="610.48919999999998"/>
    <x v="8"/>
    <x v="1"/>
    <s v="Net Banking"/>
  </r>
  <r>
    <s v="ORD1159"/>
    <s v="CUST4090"/>
    <x v="0"/>
    <s v="Toaster"/>
    <n v="2"/>
    <n v="128.13"/>
    <n v="0.16"/>
    <n v="215.25839999999999"/>
    <x v="87"/>
    <x v="4"/>
    <s v="UPI"/>
  </r>
  <r>
    <s v="ORD1160"/>
    <s v="CUST6986"/>
    <x v="1"/>
    <s v="Jacket"/>
    <n v="1"/>
    <n v="16.760000000000002"/>
    <n v="0.01"/>
    <n v="56.26760995066148"/>
    <x v="140"/>
    <x v="0"/>
    <s v="UPI"/>
  </r>
  <r>
    <s v="ORD1161"/>
    <s v="CUST9791"/>
    <x v="1"/>
    <s v="Dress"/>
    <n v="1"/>
    <n v="86.13"/>
    <n v="0.12"/>
    <n v="75.794399999999996"/>
    <x v="141"/>
    <x v="3"/>
    <s v="UPI"/>
  </r>
  <r>
    <s v="ORD1162"/>
    <s v="CUST1948"/>
    <x v="5"/>
    <s v="Novel"/>
    <n v="5"/>
    <n v="373.43"/>
    <n v="0.04"/>
    <n v="1792.4639999999999"/>
    <x v="142"/>
    <x v="4"/>
    <s v="UPI"/>
  </r>
  <r>
    <s v="ORD1163"/>
    <s v="CUST5247"/>
    <x v="1"/>
    <s v="Dress"/>
    <n v="1"/>
    <n v="220.37"/>
    <n v="0.08"/>
    <n v="202.74039999999999"/>
    <x v="139"/>
    <x v="2"/>
    <s v="UPI"/>
  </r>
  <r>
    <s v="ORD1164"/>
    <s v="CUST3734"/>
    <x v="0"/>
    <s v="Toaster"/>
    <n v="1"/>
    <n v="11.26"/>
    <n v="7.0000000000000007E-2"/>
    <n v="10.4718"/>
    <x v="119"/>
    <x v="4"/>
    <s v="Credit Card"/>
  </r>
  <r>
    <s v="ORD1165"/>
    <s v="CUST7870"/>
    <x v="1"/>
    <s v="Jacket"/>
    <n v="3"/>
    <n v="290.05"/>
    <n v="0.15"/>
    <n v="739.62750000000005"/>
    <x v="143"/>
    <x v="0"/>
    <s v="Credit Card"/>
  </r>
  <r>
    <s v="ORD1166"/>
    <s v="CUST8620"/>
    <x v="3"/>
    <s v="Yoga Mat"/>
    <n v="5"/>
    <n v="243.88561461794012"/>
    <n v="0.22"/>
    <n v="951.1538970099665"/>
    <x v="144"/>
    <x v="3"/>
    <s v="Cash on Delivery"/>
  </r>
  <r>
    <s v="ORD1167"/>
    <s v="CUST4201"/>
    <x v="4"/>
    <s v="Board Game"/>
    <n v="4"/>
    <n v="179.75"/>
    <n v="0.28999999999999998"/>
    <n v="543.69788865862381"/>
    <x v="7"/>
    <x v="4"/>
    <s v="Cash on Delivery"/>
  </r>
  <r>
    <s v="ORD1168"/>
    <s v="CUST1981"/>
    <x v="1"/>
    <s v="Dress"/>
    <n v="2"/>
    <n v="192.52"/>
    <n v="0.17"/>
    <n v="319.58319999999998"/>
    <x v="145"/>
    <x v="1"/>
    <s v="Cash on Delivery"/>
  </r>
  <r>
    <s v="ORD1169"/>
    <s v="CUST3141"/>
    <x v="0"/>
    <s v="Blender"/>
    <n v="4"/>
    <n v="143.26"/>
    <n v="0.28000000000000003"/>
    <n v="412.58879999999988"/>
    <x v="146"/>
    <x v="4"/>
    <s v="Credit Card"/>
  </r>
  <r>
    <s v="ORD1170"/>
    <s v="CUST7660"/>
    <x v="0"/>
    <s v="Microwave"/>
    <n v="4"/>
    <n v="54.31"/>
    <n v="0.25"/>
    <n v="162.93"/>
    <x v="147"/>
    <x v="3"/>
    <s v="Debit Card"/>
  </r>
  <r>
    <s v="ORD1171"/>
    <s v="CUST6828"/>
    <x v="2"/>
    <s v="Camera"/>
    <n v="2"/>
    <n v="428.75"/>
    <n v="0.03"/>
    <n v="831.77499999999998"/>
    <x v="148"/>
    <x v="1"/>
    <s v="Credit Card"/>
  </r>
  <r>
    <s v="ORD1172"/>
    <s v="CUST3141"/>
    <x v="5"/>
    <s v="Unknown"/>
    <n v="1"/>
    <n v="46.74"/>
    <n v="0.06"/>
    <n v="43.935600000000001"/>
    <x v="149"/>
    <x v="3"/>
    <s v="Credit Card"/>
  </r>
  <r>
    <s v="ORD1173"/>
    <s v="CUST3752"/>
    <x v="5"/>
    <s v="Mystery"/>
    <n v="4"/>
    <n v="115.21"/>
    <n v="0.08"/>
    <n v="423.97280000000001"/>
    <x v="150"/>
    <x v="0"/>
    <s v="Cash on Delivery"/>
  </r>
  <r>
    <s v="ORD1174"/>
    <s v="CUST9173"/>
    <x v="4"/>
    <s v="Puzzle"/>
    <n v="3"/>
    <n v="107.73"/>
    <n v="0.19"/>
    <n v="261.78390000000002"/>
    <x v="151"/>
    <x v="3"/>
    <s v="UPI"/>
  </r>
  <r>
    <s v="ORD1175"/>
    <s v="CUST9231"/>
    <x v="0"/>
    <s v="Microwave"/>
    <n v="5"/>
    <n v="243.88561461794012"/>
    <n v="0.02"/>
    <n v="1195.0395116279064"/>
    <x v="152"/>
    <x v="0"/>
    <s v="Debit Card"/>
  </r>
  <r>
    <s v="ORD1176"/>
    <s v="CUST4951"/>
    <x v="3"/>
    <s v="Football"/>
    <n v="2"/>
    <n v="421.22"/>
    <n v="0.05"/>
    <n v="800.31799999999998"/>
    <x v="153"/>
    <x v="0"/>
    <s v="Credit Card"/>
  </r>
  <r>
    <s v="ORD1177"/>
    <s v="CUST3328"/>
    <x v="1"/>
    <s v="Jacket"/>
    <n v="2"/>
    <n v="37.520000000000003"/>
    <n v="0.01"/>
    <n v="74.289600000000007"/>
    <x v="154"/>
    <x v="4"/>
    <s v="Net Banking"/>
  </r>
  <r>
    <s v="ORD1178"/>
    <s v="CUST6301"/>
    <x v="1"/>
    <s v="Board Game"/>
    <n v="5"/>
    <n v="193.06"/>
    <n v="0.18"/>
    <n v="791.54600000000005"/>
    <x v="155"/>
    <x v="4"/>
    <s v="UPI"/>
  </r>
  <r>
    <s v="ORD1179"/>
    <s v="CUST6198"/>
    <x v="4"/>
    <s v="Doll"/>
    <n v="2"/>
    <n v="369.66"/>
    <n v="0.04"/>
    <n v="709.74720000000002"/>
    <x v="142"/>
    <x v="0"/>
    <s v="Credit Card"/>
  </r>
  <r>
    <s v="ORD1180"/>
    <s v="CUST4619"/>
    <x v="2"/>
    <s v="Headphones"/>
    <n v="1"/>
    <n v="166.56"/>
    <n v="0.25"/>
    <n v="124.92"/>
    <x v="122"/>
    <x v="1"/>
    <s v="Net Banking"/>
  </r>
  <r>
    <s v="ORD1181"/>
    <s v="CUST6742"/>
    <x v="2"/>
    <s v="Laptop"/>
    <n v="3"/>
    <n v="443.43"/>
    <n v="0.26"/>
    <n v="984.41459999999995"/>
    <x v="156"/>
    <x v="1"/>
    <s v="UPI"/>
  </r>
  <r>
    <s v="ORD1182"/>
    <s v="CUST4695"/>
    <x v="2"/>
    <s v="Laptop"/>
    <n v="3"/>
    <n v="46.36"/>
    <n v="0.27"/>
    <n v="101.5284"/>
    <x v="157"/>
    <x v="3"/>
    <s v="Cash on Delivery"/>
  </r>
  <r>
    <s v="ORD1183"/>
    <s v="CUST1507"/>
    <x v="6"/>
    <s v="Foundation"/>
    <n v="4"/>
    <n v="172.24"/>
    <n v="0.12"/>
    <n v="606.28480000000002"/>
    <x v="158"/>
    <x v="5"/>
    <s v="Net Banking"/>
  </r>
  <r>
    <s v="ORD1184"/>
    <s v="CUST9043"/>
    <x v="0"/>
    <s v="Toaster"/>
    <n v="3"/>
    <n v="22.61"/>
    <n v="0.19"/>
    <n v="54.942300000000003"/>
    <x v="61"/>
    <x v="3"/>
    <s v="UPI"/>
  </r>
  <r>
    <s v="ORD1185"/>
    <s v="CUST5341"/>
    <x v="4"/>
    <s v="Biography"/>
    <n v="4"/>
    <n v="31.86"/>
    <n v="0.14000000000000001"/>
    <n v="109.5984"/>
    <x v="159"/>
    <x v="4"/>
    <s v="Credit Card"/>
  </r>
  <r>
    <s v="ORD1186"/>
    <s v="CUST9871"/>
    <x v="3"/>
    <s v="Bicycle Helmet"/>
    <n v="1"/>
    <n v="215.13"/>
    <n v="0.17"/>
    <n v="178.55789999999999"/>
    <x v="49"/>
    <x v="2"/>
    <s v="Credit Card"/>
  </r>
  <r>
    <s v="ORD1187"/>
    <s v="CUST3415"/>
    <x v="3"/>
    <s v="Dumbbells"/>
    <n v="2"/>
    <n v="71.83"/>
    <n v="0.02"/>
    <n v="140.7868"/>
    <x v="160"/>
    <x v="0"/>
    <s v="Net Banking"/>
  </r>
  <r>
    <s v="ORD1188"/>
    <s v="CUST2097"/>
    <x v="4"/>
    <s v="Cookbook"/>
    <n v="3"/>
    <n v="16.059999999999999"/>
    <n v="0.03"/>
    <n v="46.734599999999993"/>
    <x v="84"/>
    <x v="1"/>
    <s v="Cash on Delivery"/>
  </r>
  <r>
    <s v="ORD1189"/>
    <s v="CUST9775"/>
    <x v="5"/>
    <s v="Science Fiction"/>
    <n v="4"/>
    <n v="144.94999999999999"/>
    <n v="0.19"/>
    <n v="469.63799999999998"/>
    <x v="59"/>
    <x v="5"/>
    <s v="Net Banking"/>
  </r>
  <r>
    <s v="ORD1190"/>
    <s v="CUST8785"/>
    <x v="0"/>
    <s v="Toaster"/>
    <n v="3"/>
    <n v="250.89"/>
    <n v="0.28999999999999998"/>
    <n v="534.39569999999992"/>
    <x v="49"/>
    <x v="3"/>
    <s v="Net Banking"/>
  </r>
  <r>
    <s v="ORD1191"/>
    <s v="CUST2462"/>
    <x v="1"/>
    <s v="Unknown"/>
    <n v="5"/>
    <n v="262.48"/>
    <n v="0.02"/>
    <n v="1286.152"/>
    <x v="161"/>
    <x v="0"/>
    <s v="Cash on Delivery"/>
  </r>
  <r>
    <s v="ORD1192"/>
    <s v="CUST4288"/>
    <x v="1"/>
    <s v="T-shirt"/>
    <n v="3"/>
    <n v="413.52"/>
    <n v="0.19"/>
    <n v="1004.8536"/>
    <x v="162"/>
    <x v="3"/>
    <s v="UPI"/>
  </r>
  <r>
    <s v="ORD1193"/>
    <s v="CUST8775"/>
    <x v="0"/>
    <s v="Blender"/>
    <n v="3"/>
    <n v="199.42"/>
    <n v="0.26"/>
    <n v="442.7124"/>
    <x v="163"/>
    <x v="4"/>
    <s v="Debit Card"/>
  </r>
  <r>
    <s v="ORD1194"/>
    <s v="CUST1328"/>
    <x v="3"/>
    <s v="Football"/>
    <n v="2"/>
    <n v="14.15"/>
    <n v="0.18"/>
    <n v="23.206"/>
    <x v="164"/>
    <x v="2"/>
    <s v="UPI"/>
  </r>
  <r>
    <s v="ORD1195"/>
    <s v="CUST4575"/>
    <x v="6"/>
    <s v="Perfume"/>
    <n v="4"/>
    <n v="243.88561461794012"/>
    <n v="0.17"/>
    <n v="809.70024053156112"/>
    <x v="165"/>
    <x v="3"/>
    <s v="Credit Card"/>
  </r>
  <r>
    <s v="ORD1196"/>
    <s v="CUST5529"/>
    <x v="3"/>
    <s v="Yoga Mat"/>
    <n v="3"/>
    <n v="385.08"/>
    <n v="0.24"/>
    <n v="877.98239999999998"/>
    <x v="115"/>
    <x v="3"/>
    <s v="Debit Card"/>
  </r>
  <r>
    <s v="ORD1197"/>
    <s v="CUST5843"/>
    <x v="5"/>
    <s v="Mystery"/>
    <n v="1"/>
    <n v="359.55"/>
    <n v="0.27"/>
    <n v="262.47149999999999"/>
    <x v="140"/>
    <x v="4"/>
    <s v="Cash on Delivery"/>
  </r>
  <r>
    <s v="ORD1198"/>
    <s v="CUST3096"/>
    <x v="6"/>
    <s v="Perfume"/>
    <n v="2"/>
    <n v="118.9"/>
    <n v="0.22"/>
    <n v="185.48400000000001"/>
    <x v="166"/>
    <x v="3"/>
    <s v="Cash on Delivery"/>
  </r>
  <r>
    <s v="ORD1199"/>
    <s v="CUST8709"/>
    <x v="6"/>
    <s v="Doll"/>
    <n v="1"/>
    <n v="255.23"/>
    <n v="0.16"/>
    <n v="214.39320000000001"/>
    <x v="68"/>
    <x v="4"/>
    <s v="Net Banking"/>
  </r>
  <r>
    <s v="ORD1200"/>
    <s v="CUST8496"/>
    <x v="3"/>
    <s v="Tennis Racket"/>
    <n v="4"/>
    <n v="96.64"/>
    <n v="0"/>
    <n v="386.56"/>
    <x v="167"/>
    <x v="2"/>
    <s v="Credit Card"/>
  </r>
  <r>
    <s v="ORD1201"/>
    <s v="CUST8035"/>
    <x v="5"/>
    <s v="Mystery"/>
    <n v="5"/>
    <n v="475.53"/>
    <n v="0.23"/>
    <n v="1830.7905000000001"/>
    <x v="151"/>
    <x v="4"/>
    <s v="Debit Card"/>
  </r>
  <r>
    <s v="ORD1202"/>
    <s v="CUST3112"/>
    <x v="4"/>
    <s v="Doll"/>
    <n v="1"/>
    <n v="152.51"/>
    <n v="0.13"/>
    <n v="132.68369999999999"/>
    <x v="94"/>
    <x v="2"/>
    <s v="Net Banking"/>
  </r>
  <r>
    <s v="ORD1203"/>
    <s v="CUST7609"/>
    <x v="1"/>
    <s v="Foundation"/>
    <n v="1"/>
    <n v="358.44"/>
    <n v="0.11"/>
    <n v="319.01159999999999"/>
    <x v="168"/>
    <x v="0"/>
    <s v="Credit Card"/>
  </r>
  <r>
    <s v="ORD1204"/>
    <s v="CUST1323"/>
    <x v="2"/>
    <s v="Mystery"/>
    <n v="5"/>
    <n v="85.03"/>
    <n v="0.09"/>
    <n v="386.88650000000001"/>
    <x v="169"/>
    <x v="0"/>
    <s v="Cash on Delivery"/>
  </r>
  <r>
    <s v="ORD1205"/>
    <s v="CUST2718"/>
    <x v="4"/>
    <s v="Unknown"/>
    <n v="1"/>
    <n v="107.88"/>
    <n v="0.25"/>
    <n v="80.91"/>
    <x v="131"/>
    <x v="3"/>
    <s v="Debit Card"/>
  </r>
  <r>
    <s v="ORD1206"/>
    <s v="CUST4402"/>
    <x v="5"/>
    <s v="Science Fiction"/>
    <n v="1"/>
    <n v="419.26"/>
    <n v="0.04"/>
    <n v="428.56316200126832"/>
    <x v="170"/>
    <x v="4"/>
    <s v="UPI"/>
  </r>
  <r>
    <s v="ORD1207"/>
    <s v="CUST8606"/>
    <x v="3"/>
    <s v="T-shirt"/>
    <n v="3"/>
    <n v="66.790000000000006"/>
    <n v="0"/>
    <n v="200.37"/>
    <x v="171"/>
    <x v="3"/>
    <s v="Net Banking"/>
  </r>
  <r>
    <s v="ORD1208"/>
    <s v="CUST5395"/>
    <x v="2"/>
    <s v="Camera"/>
    <n v="2"/>
    <n v="481.53"/>
    <n v="0.25"/>
    <n v="722.29499999999996"/>
    <x v="36"/>
    <x v="4"/>
    <s v="Credit Card"/>
  </r>
  <r>
    <s v="ORD1209"/>
    <s v="CUST3611"/>
    <x v="4"/>
    <s v="Puzzle"/>
    <n v="4"/>
    <n v="391.79"/>
    <n v="0.26"/>
    <n v="1159.6984"/>
    <x v="172"/>
    <x v="2"/>
    <s v="Credit Card"/>
  </r>
  <r>
    <s v="ORD1210"/>
    <s v="CUST2037"/>
    <x v="0"/>
    <s v="Toaster"/>
    <n v="5"/>
    <n v="338.22"/>
    <n v="0.16"/>
    <n v="1420.5239999999999"/>
    <x v="173"/>
    <x v="2"/>
    <s v="Debit Card"/>
  </r>
  <r>
    <s v="ORD1211"/>
    <s v="CUST7305"/>
    <x v="3"/>
    <s v="Bicycle Helmet"/>
    <n v="5"/>
    <n v="243.88561461794012"/>
    <n v="0.26"/>
    <n v="902.37677408637842"/>
    <x v="174"/>
    <x v="2"/>
    <s v="Net Banking"/>
  </r>
  <r>
    <s v="ORD1212"/>
    <s v="CUST1824"/>
    <x v="4"/>
    <s v="Puzzle"/>
    <n v="2"/>
    <n v="402.62"/>
    <n v="0.03"/>
    <n v="781.08280000000002"/>
    <x v="175"/>
    <x v="2"/>
    <s v="Credit Card"/>
  </r>
  <r>
    <s v="ORD1213"/>
    <s v="CUST9996"/>
    <x v="2"/>
    <s v="Bicycle Helmet"/>
    <n v="3"/>
    <n v="233.54"/>
    <n v="0.11"/>
    <n v="635.47478760541935"/>
    <x v="11"/>
    <x v="0"/>
    <s v="Cash on Delivery"/>
  </r>
  <r>
    <s v="ORD1214"/>
    <s v="CUST6952"/>
    <x v="2"/>
    <s v="Laptop"/>
    <n v="2"/>
    <n v="416.64"/>
    <n v="0.16"/>
    <n v="699.95519999999999"/>
    <x v="15"/>
    <x v="4"/>
    <s v="UPI"/>
  </r>
  <r>
    <s v="ORD1215"/>
    <s v="CUST7704"/>
    <x v="4"/>
    <s v="Board Game"/>
    <n v="4"/>
    <n v="392.9"/>
    <n v="0.03"/>
    <n v="1524.452"/>
    <x v="176"/>
    <x v="2"/>
    <s v="UPI"/>
  </r>
  <r>
    <s v="ORD1216"/>
    <s v="CUST3205"/>
    <x v="2"/>
    <s v="Smartwatch"/>
    <n v="5"/>
    <n v="246.64"/>
    <n v="0.21"/>
    <n v="974.22799999999995"/>
    <x v="149"/>
    <x v="2"/>
    <s v="Cash on Delivery"/>
  </r>
  <r>
    <s v="ORD1217"/>
    <s v="CUST7302"/>
    <x v="4"/>
    <s v="Board Game"/>
    <n v="3"/>
    <n v="75.349999999999994"/>
    <n v="0.18"/>
    <n v="185.36099999999999"/>
    <x v="177"/>
    <x v="0"/>
    <s v="Net Banking"/>
  </r>
  <r>
    <s v="ORD1218"/>
    <s v="CUST4560"/>
    <x v="4"/>
    <s v="Lego Set"/>
    <n v="2"/>
    <n v="350.21"/>
    <n v="0.21"/>
    <n v="553.33180000000004"/>
    <x v="178"/>
    <x v="0"/>
    <s v="Cash on Delivery"/>
  </r>
  <r>
    <s v="ORD1219"/>
    <s v="CUST9747"/>
    <x v="3"/>
    <s v="Dumbbells"/>
    <n v="5"/>
    <n v="81.209999999999994"/>
    <n v="0.06"/>
    <n v="381.68700000000001"/>
    <x v="179"/>
    <x v="3"/>
    <s v="Debit Card"/>
  </r>
  <r>
    <s v="ORD1220"/>
    <s v="CUST5835"/>
    <x v="4"/>
    <s v="Action Figure"/>
    <n v="4"/>
    <n v="341.01"/>
    <n v="0.22"/>
    <n v="1063.9512"/>
    <x v="14"/>
    <x v="1"/>
    <s v="UPI"/>
  </r>
  <r>
    <s v="ORD1221"/>
    <s v="CUST6122"/>
    <x v="2"/>
    <s v="Laptop"/>
    <n v="2"/>
    <n v="456.63"/>
    <n v="0.23"/>
    <n v="703.21019999999999"/>
    <x v="180"/>
    <x v="4"/>
    <s v="Net Banking"/>
  </r>
  <r>
    <s v="ORD1222"/>
    <s v="CUST2220"/>
    <x v="1"/>
    <s v="Sweater"/>
    <n v="1"/>
    <n v="139.47999999999999"/>
    <n v="0.18"/>
    <n v="114.3736"/>
    <x v="154"/>
    <x v="4"/>
    <s v="Credit Card"/>
  </r>
  <r>
    <s v="ORD1223"/>
    <s v="CUST1833"/>
    <x v="6"/>
    <s v="Perfume"/>
    <n v="3"/>
    <n v="279.58"/>
    <n v="0.24"/>
    <n v="637.44240000000002"/>
    <x v="181"/>
    <x v="0"/>
    <s v="Credit Card"/>
  </r>
  <r>
    <s v="ORD1224"/>
    <s v="CUST9897"/>
    <x v="2"/>
    <s v="Camera"/>
    <n v="2"/>
    <n v="153.85"/>
    <n v="0.3"/>
    <n v="215.39"/>
    <x v="141"/>
    <x v="1"/>
    <s v="Net Banking"/>
  </r>
  <r>
    <s v="ORD1225"/>
    <s v="CUST4994"/>
    <x v="6"/>
    <s v="Moisturizer"/>
    <n v="1"/>
    <n v="364.75"/>
    <n v="0.27"/>
    <n v="266.26749999999998"/>
    <x v="182"/>
    <x v="2"/>
    <s v="Credit Card"/>
  </r>
  <r>
    <s v="ORD1226"/>
    <s v="CUST6248"/>
    <x v="2"/>
    <s v="Smartphone"/>
    <n v="5"/>
    <n v="113.28"/>
    <n v="0.26"/>
    <n v="419.13600000000002"/>
    <x v="183"/>
    <x v="0"/>
    <s v="UPI"/>
  </r>
  <r>
    <s v="ORD1227"/>
    <s v="CUST3519"/>
    <x v="6"/>
    <s v="Unknown"/>
    <n v="1"/>
    <n v="283.45999999999998"/>
    <n v="0.27"/>
    <n v="206.92580000000001"/>
    <x v="184"/>
    <x v="2"/>
    <s v="Net Banking"/>
  </r>
  <r>
    <s v="ORD1228"/>
    <s v="CUST9762"/>
    <x v="6"/>
    <s v="Action Figure"/>
    <n v="5"/>
    <n v="45.57"/>
    <n v="0.09"/>
    <n v="207.34350000000001"/>
    <x v="185"/>
    <x v="3"/>
    <s v="UPI"/>
  </r>
  <r>
    <s v="ORD1229"/>
    <s v="CUST1504"/>
    <x v="4"/>
    <s v="Board Game"/>
    <n v="4"/>
    <n v="80.599999999999994"/>
    <n v="0.28999999999999998"/>
    <n v="272.76757945351608"/>
    <x v="186"/>
    <x v="1"/>
    <s v="Credit Card"/>
  </r>
  <r>
    <s v="ORD1230"/>
    <s v="CUST9970"/>
    <x v="0"/>
    <s v="Microwave"/>
    <n v="3"/>
    <n v="326.51"/>
    <n v="0.05"/>
    <n v="930.55349999999999"/>
    <x v="187"/>
    <x v="1"/>
    <s v="Debit Card"/>
  </r>
  <r>
    <s v="ORD1231"/>
    <s v="CUST1891"/>
    <x v="4"/>
    <s v="Puzzle"/>
    <n v="1"/>
    <n v="132.84"/>
    <n v="0.22"/>
    <n v="103.6152"/>
    <x v="166"/>
    <x v="4"/>
    <s v="Debit Card"/>
  </r>
  <r>
    <s v="ORD1232"/>
    <s v="CUST4170"/>
    <x v="5"/>
    <s v="Science Fiction"/>
    <n v="3"/>
    <n v="188.6"/>
    <n v="0.28999999999999998"/>
    <n v="401.71800000000002"/>
    <x v="13"/>
    <x v="4"/>
    <s v="UPI"/>
  </r>
  <r>
    <s v="ORD1233"/>
    <s v="CUST6432"/>
    <x v="5"/>
    <s v="Mystery"/>
    <n v="3"/>
    <n v="96.13"/>
    <n v="0.25"/>
    <n v="216.29249999999999"/>
    <x v="148"/>
    <x v="3"/>
    <s v="Credit Card"/>
  </r>
  <r>
    <s v="ORD1234"/>
    <s v="CUST9309"/>
    <x v="3"/>
    <s v="Bicycle Helmet"/>
    <n v="5"/>
    <n v="280.27999999999997"/>
    <n v="0.2"/>
    <n v="1121.1199999999999"/>
    <x v="188"/>
    <x v="0"/>
    <s v="Net Banking"/>
  </r>
  <r>
    <s v="ORD1235"/>
    <s v="CUST2483"/>
    <x v="4"/>
    <s v="Unknown"/>
    <n v="5"/>
    <n v="78.78"/>
    <n v="0.05"/>
    <n v="374.20499999999998"/>
    <x v="189"/>
    <x v="2"/>
    <s v="Net Banking"/>
  </r>
  <r>
    <s v="ORD1236"/>
    <s v="CUST4796"/>
    <x v="0"/>
    <s v="T-shirt"/>
    <n v="5"/>
    <n v="459.77"/>
    <n v="0.01"/>
    <n v="2275.8615"/>
    <x v="190"/>
    <x v="3"/>
    <s v="Cash on Delivery"/>
  </r>
  <r>
    <s v="ORD1237"/>
    <s v="CUST7201"/>
    <x v="6"/>
    <s v="Lipstick"/>
    <n v="4"/>
    <n v="182.92"/>
    <n v="0.15"/>
    <n v="621.928"/>
    <x v="191"/>
    <x v="0"/>
    <s v="Debit Card"/>
  </r>
  <r>
    <s v="ORD1238"/>
    <s v="CUST9430"/>
    <x v="1"/>
    <s v="Jeans"/>
    <n v="3"/>
    <n v="213.16"/>
    <n v="0.22"/>
    <n v="498.79440000000011"/>
    <x v="192"/>
    <x v="4"/>
    <s v="Cash on Delivery"/>
  </r>
  <r>
    <s v="ORD1239"/>
    <s v="CUST1367"/>
    <x v="1"/>
    <s v="Sweater"/>
    <n v="2"/>
    <n v="81.96"/>
    <n v="0.08"/>
    <n v="150.8064"/>
    <x v="26"/>
    <x v="3"/>
    <s v="Credit Card"/>
  </r>
  <r>
    <s v="ORD1240"/>
    <s v="CUST8723"/>
    <x v="1"/>
    <s v="Jeans"/>
    <n v="5"/>
    <n v="412.02"/>
    <n v="0.19"/>
    <n v="1668.681"/>
    <x v="193"/>
    <x v="2"/>
    <s v="Cash on Delivery"/>
  </r>
  <r>
    <s v="ORD1241"/>
    <s v="CUST7315"/>
    <x v="2"/>
    <s v="Smartphone"/>
    <n v="5"/>
    <n v="306.7"/>
    <n v="0.14000000000000001"/>
    <n v="1318.81"/>
    <x v="102"/>
    <x v="1"/>
    <s v="UPI"/>
  </r>
  <r>
    <s v="ORD1242"/>
    <s v="CUST9835"/>
    <x v="3"/>
    <s v="Dumbbells"/>
    <n v="3"/>
    <n v="220.19"/>
    <n v="0.24"/>
    <n v="502.03320000000002"/>
    <x v="194"/>
    <x v="2"/>
    <s v="Debit Card"/>
  </r>
  <r>
    <s v="ORD1243"/>
    <s v="CUST2373"/>
    <x v="4"/>
    <s v="Puzzle"/>
    <n v="1"/>
    <n v="67.739999999999995"/>
    <n v="0.11"/>
    <n v="60.288600000000002"/>
    <x v="175"/>
    <x v="3"/>
    <s v="Credit Card"/>
  </r>
  <r>
    <s v="ORD1244"/>
    <s v="CUST5155"/>
    <x v="4"/>
    <s v="Puzzle"/>
    <n v="5"/>
    <n v="204.75"/>
    <n v="0.12"/>
    <n v="900.9"/>
    <x v="31"/>
    <x v="3"/>
    <s v="Cash on Delivery"/>
  </r>
  <r>
    <s v="ORD1245"/>
    <s v="CUST6024"/>
    <x v="3"/>
    <s v="Dumbbells"/>
    <n v="1"/>
    <n v="352.66"/>
    <n v="0.03"/>
    <n v="342.08019999999999"/>
    <x v="195"/>
    <x v="5"/>
    <s v="UPI"/>
  </r>
  <r>
    <s v="ORD1246"/>
    <s v="CUST2492"/>
    <x v="5"/>
    <s v="Cookbook"/>
    <n v="1"/>
    <n v="49.22"/>
    <n v="0.22"/>
    <n v="38.391599999999997"/>
    <x v="196"/>
    <x v="0"/>
    <s v="Credit Card"/>
  </r>
  <r>
    <s v="ORD1247"/>
    <s v="CUST9099"/>
    <x v="1"/>
    <s v="Sweater"/>
    <n v="1"/>
    <n v="340.27"/>
    <n v="7.0000000000000007E-2"/>
    <n v="325.16589328166913"/>
    <x v="197"/>
    <x v="3"/>
    <s v="UPI"/>
  </r>
  <r>
    <s v="ORD1248"/>
    <s v="CUST1251"/>
    <x v="2"/>
    <s v="Laptop"/>
    <n v="5"/>
    <n v="409.6"/>
    <n v="0.18"/>
    <n v="1679.36"/>
    <x v="161"/>
    <x v="3"/>
    <s v="Debit Card"/>
  </r>
  <r>
    <s v="ORD1249"/>
    <s v="CUST2185"/>
    <x v="0"/>
    <s v="Toaster"/>
    <n v="3"/>
    <n v="483.37"/>
    <n v="0.23"/>
    <n v="1116.5847000000001"/>
    <x v="198"/>
    <x v="0"/>
    <s v="Credit Card"/>
  </r>
  <r>
    <s v="ORD1250"/>
    <s v="CUST7269"/>
    <x v="1"/>
    <s v="Jeans"/>
    <n v="4"/>
    <n v="14.76"/>
    <n v="7.0000000000000007E-2"/>
    <n v="88.91839792230887"/>
    <x v="70"/>
    <x v="0"/>
    <s v="Debit Card"/>
  </r>
  <r>
    <s v="ORD1251"/>
    <s v="CUST5408"/>
    <x v="6"/>
    <s v="Foundation"/>
    <n v="2"/>
    <n v="437.64"/>
    <n v="7.0000000000000007E-2"/>
    <n v="814.01039999999989"/>
    <x v="199"/>
    <x v="4"/>
    <s v="Credit Card"/>
  </r>
  <r>
    <s v="ORD1252"/>
    <s v="CUST9071"/>
    <x v="3"/>
    <s v="Bicycle Helmet"/>
    <n v="4"/>
    <n v="251.25"/>
    <n v="0.15"/>
    <n v="854.25"/>
    <x v="200"/>
    <x v="2"/>
    <s v="Debit Card"/>
  </r>
  <r>
    <s v="ORD1253"/>
    <s v="CUST9613"/>
    <x v="5"/>
    <s v="Unknown"/>
    <n v="3"/>
    <n v="390.19"/>
    <n v="0.28999999999999998"/>
    <n v="831.10469999999987"/>
    <x v="201"/>
    <x v="3"/>
    <s v="Credit Card"/>
  </r>
  <r>
    <s v="ORD1254"/>
    <s v="CUST2650"/>
    <x v="4"/>
    <s v="Lego Set"/>
    <n v="3"/>
    <n v="479.68"/>
    <n v="0.11"/>
    <n v="1280.7456"/>
    <x v="202"/>
    <x v="3"/>
    <s v="Net Banking"/>
  </r>
  <r>
    <s v="ORD1255"/>
    <s v="CUST3947"/>
    <x v="4"/>
    <s v="Board Game"/>
    <n v="3"/>
    <n v="429.59"/>
    <n v="0.04"/>
    <n v="1237.2192"/>
    <x v="150"/>
    <x v="1"/>
    <s v="Debit Card"/>
  </r>
  <r>
    <s v="ORD1256"/>
    <s v="CUST9470"/>
    <x v="0"/>
    <s v="Cookware Set"/>
    <n v="5"/>
    <n v="348.37"/>
    <n v="0.06"/>
    <n v="1637.3389999999999"/>
    <x v="203"/>
    <x v="2"/>
    <s v="Net Banking"/>
  </r>
  <r>
    <s v="ORD1257"/>
    <s v="CUST5222"/>
    <x v="5"/>
    <s v="Novel"/>
    <n v="5"/>
    <n v="328.43"/>
    <n v="0.28999999999999998"/>
    <n v="1165.9265"/>
    <x v="204"/>
    <x v="2"/>
    <s v="Credit Card"/>
  </r>
  <r>
    <s v="ORD1258"/>
    <s v="CUST3373"/>
    <x v="6"/>
    <s v="Moisturizer"/>
    <n v="5"/>
    <n v="44.96"/>
    <n v="0.1"/>
    <n v="202.32"/>
    <x v="205"/>
    <x v="3"/>
    <s v="Cash on Delivery"/>
  </r>
  <r>
    <s v="ORD1259"/>
    <s v="CUST8289"/>
    <x v="0"/>
    <s v="Vacuum Cleaner"/>
    <n v="4"/>
    <n v="428.56"/>
    <n v="0.22"/>
    <n v="1337.1071999999999"/>
    <x v="206"/>
    <x v="4"/>
    <s v="Debit Card"/>
  </r>
  <r>
    <s v="ORD1260"/>
    <s v="CUST8752"/>
    <x v="2"/>
    <s v="Headphones"/>
    <n v="1"/>
    <n v="86.08"/>
    <n v="0.09"/>
    <n v="78.332800000000006"/>
    <x v="89"/>
    <x v="4"/>
    <s v="Debit Card"/>
  </r>
  <r>
    <s v="ORD1261"/>
    <s v="CUST1575"/>
    <x v="3"/>
    <s v="Yoga Mat"/>
    <n v="4"/>
    <n v="76.209999999999994"/>
    <n v="0.18"/>
    <n v="249.96879999999999"/>
    <x v="207"/>
    <x v="0"/>
    <s v="Cash on Delivery"/>
  </r>
  <r>
    <s v="ORD1262"/>
    <s v="CUST9841"/>
    <x v="2"/>
    <s v="Unknown"/>
    <n v="4"/>
    <n v="15.17"/>
    <n v="0.1"/>
    <n v="54.612000000000002"/>
    <x v="208"/>
    <x v="2"/>
    <s v="Net Banking"/>
  </r>
  <r>
    <s v="ORD1263"/>
    <s v="CUST5799"/>
    <x v="3"/>
    <s v="Football"/>
    <n v="2"/>
    <n v="224.18"/>
    <n v="0.05"/>
    <n v="425.94200000000001"/>
    <x v="209"/>
    <x v="4"/>
    <s v="Net Banking"/>
  </r>
  <r>
    <s v="ORD1264"/>
    <s v="CUST9464"/>
    <x v="4"/>
    <s v="Lego Set"/>
    <n v="5"/>
    <n v="428.21"/>
    <n v="0.04"/>
    <n v="2055.407999999999"/>
    <x v="210"/>
    <x v="3"/>
    <s v="Cash on Delivery"/>
  </r>
  <r>
    <s v="ORD1265"/>
    <s v="CUST3492"/>
    <x v="4"/>
    <s v="Smartphone"/>
    <n v="3"/>
    <n v="224.82"/>
    <n v="7.0000000000000007E-2"/>
    <n v="627.24779999999998"/>
    <x v="211"/>
    <x v="3"/>
    <s v="UPI"/>
  </r>
  <r>
    <s v="ORD1266"/>
    <s v="CUST7084"/>
    <x v="3"/>
    <s v="Football"/>
    <n v="2"/>
    <n v="202.29"/>
    <n v="0.05"/>
    <n v="384.35099999999989"/>
    <x v="212"/>
    <x v="1"/>
    <s v="Credit Card"/>
  </r>
  <r>
    <s v="ORD1267"/>
    <s v="CUST7304"/>
    <x v="5"/>
    <s v="Biography"/>
    <n v="1"/>
    <n v="387.79"/>
    <n v="0.14000000000000001"/>
    <n v="333.49939999999998"/>
    <x v="65"/>
    <x v="4"/>
    <s v="Credit Card"/>
  </r>
  <r>
    <s v="ORD1268"/>
    <s v="CUST3001"/>
    <x v="6"/>
    <s v="Unknown"/>
    <n v="1"/>
    <n v="125.62"/>
    <n v="0.1"/>
    <n v="113.05800000000001"/>
    <x v="197"/>
    <x v="5"/>
    <s v="Debit Card"/>
  </r>
  <r>
    <s v="ORD1269"/>
    <s v="CUST8786"/>
    <x v="1"/>
    <s v="Dress"/>
    <n v="2"/>
    <n v="346.11"/>
    <n v="0.28000000000000003"/>
    <n v="498.39839999999998"/>
    <x v="213"/>
    <x v="1"/>
    <s v="Net Banking"/>
  </r>
  <r>
    <s v="ORD1270"/>
    <s v="CUST2759"/>
    <x v="1"/>
    <s v="Dress"/>
    <n v="3"/>
    <n v="20.46"/>
    <n v="0.11"/>
    <n v="54.6282"/>
    <x v="147"/>
    <x v="2"/>
    <s v="Cash on Delivery"/>
  </r>
  <r>
    <s v="ORD1271"/>
    <s v="CUST4109"/>
    <x v="4"/>
    <s v="Lego Set"/>
    <n v="4"/>
    <n v="303.35000000000002"/>
    <n v="0.02"/>
    <n v="1189.1320000000001"/>
    <x v="214"/>
    <x v="0"/>
    <s v="Net Banking"/>
  </r>
  <r>
    <s v="ORD1272"/>
    <s v="CUST9289"/>
    <x v="1"/>
    <s v="T-shirt"/>
    <n v="3"/>
    <n v="41.04"/>
    <n v="0.06"/>
    <n v="115.7328"/>
    <x v="117"/>
    <x v="0"/>
    <s v="Net Banking"/>
  </r>
  <r>
    <s v="ORD1273"/>
    <s v="CUST2809"/>
    <x v="6"/>
    <s v="Laptop"/>
    <n v="2"/>
    <n v="109.02"/>
    <n v="0.06"/>
    <n v="237.40343173825349"/>
    <x v="215"/>
    <x v="0"/>
    <s v="Cash on Delivery"/>
  </r>
  <r>
    <s v="ORD1274"/>
    <s v="CUST7002"/>
    <x v="6"/>
    <s v="Lipstick"/>
    <n v="3"/>
    <n v="417.72"/>
    <n v="0.24"/>
    <n v="952.40160000000003"/>
    <x v="216"/>
    <x v="0"/>
    <s v="UPI"/>
  </r>
  <r>
    <s v="ORD1275"/>
    <s v="CUST1955"/>
    <x v="0"/>
    <s v="Vacuum Cleaner"/>
    <n v="3"/>
    <n v="115.79"/>
    <n v="0.03"/>
    <n v="336.94889999999998"/>
    <x v="217"/>
    <x v="4"/>
    <s v="Debit Card"/>
  </r>
  <r>
    <s v="ORD1276"/>
    <s v="CUST3931"/>
    <x v="4"/>
    <s v="Puzzle"/>
    <n v="5"/>
    <n v="354.25"/>
    <n v="0.26"/>
    <n v="1310.7249999999999"/>
    <x v="218"/>
    <x v="0"/>
    <s v="Net Banking"/>
  </r>
  <r>
    <s v="ORD1277"/>
    <s v="CUST8258"/>
    <x v="0"/>
    <s v="Vacuum Cleaner"/>
    <n v="3"/>
    <n v="320.29000000000002"/>
    <n v="0.18"/>
    <n v="787.91340000000014"/>
    <x v="163"/>
    <x v="0"/>
    <s v="Net Banking"/>
  </r>
  <r>
    <s v="ORD1278"/>
    <s v="CUST7505"/>
    <x v="2"/>
    <s v="Vacuum Cleaner"/>
    <n v="3"/>
    <n v="492.35"/>
    <n v="0.26"/>
    <n v="1093.0170000000001"/>
    <x v="219"/>
    <x v="0"/>
    <s v="Cash on Delivery"/>
  </r>
  <r>
    <s v="ORD1279"/>
    <s v="CUST3534"/>
    <x v="5"/>
    <s v="Microwave"/>
    <n v="3"/>
    <n v="407.43"/>
    <n v="0.17"/>
    <n v="1014.5007000000001"/>
    <x v="220"/>
    <x v="3"/>
    <s v="UPI"/>
  </r>
  <r>
    <s v="ORD1280"/>
    <s v="CUST2562"/>
    <x v="0"/>
    <s v="Toaster"/>
    <n v="5"/>
    <n v="37.4"/>
    <n v="0.1"/>
    <n v="168.3"/>
    <x v="78"/>
    <x v="4"/>
    <s v="Cash on Delivery"/>
  </r>
  <r>
    <s v="ORD1281"/>
    <s v="CUST7266"/>
    <x v="4"/>
    <s v="Camera"/>
    <n v="2"/>
    <n v="118.19"/>
    <n v="0.2"/>
    <n v="189.10400000000001"/>
    <x v="221"/>
    <x v="4"/>
    <s v="UPI"/>
  </r>
  <r>
    <s v="ORD1282"/>
    <s v="CUST3165"/>
    <x v="5"/>
    <s v="Cookbook"/>
    <n v="5"/>
    <n v="205.28"/>
    <n v="0.23"/>
    <n v="790.32800000000009"/>
    <x v="222"/>
    <x v="0"/>
    <s v="Debit Card"/>
  </r>
  <r>
    <s v="ORD1283"/>
    <s v="CUST4212"/>
    <x v="6"/>
    <s v="Perfume"/>
    <n v="1"/>
    <n v="168.47"/>
    <n v="0.03"/>
    <n v="163.41589999999999"/>
    <x v="223"/>
    <x v="4"/>
    <s v="Net Banking"/>
  </r>
  <r>
    <s v="ORD1284"/>
    <s v="CUST5994"/>
    <x v="0"/>
    <s v="Vacuum Cleaner"/>
    <n v="4"/>
    <n v="462.86"/>
    <n v="0.06"/>
    <n v="1740.3535999999999"/>
    <x v="224"/>
    <x v="1"/>
    <s v="Debit Card"/>
  </r>
  <r>
    <s v="ORD1285"/>
    <s v="CUST5713"/>
    <x v="6"/>
    <s v="Football"/>
    <n v="4"/>
    <n v="372.61"/>
    <n v="0.06"/>
    <n v="1401.0136"/>
    <x v="225"/>
    <x v="0"/>
    <s v="Debit Card"/>
  </r>
  <r>
    <s v="ORD1286"/>
    <s v="CUST7170"/>
    <x v="6"/>
    <s v="Perfume"/>
    <n v="2"/>
    <n v="396.7"/>
    <n v="0.02"/>
    <n v="777.53199999999993"/>
    <x v="208"/>
    <x v="2"/>
    <s v="Net Banking"/>
  </r>
  <r>
    <s v="ORD1287"/>
    <s v="CUST6901"/>
    <x v="2"/>
    <s v="Camera"/>
    <n v="4"/>
    <n v="259.18"/>
    <n v="0.27"/>
    <n v="756.80560000000003"/>
    <x v="5"/>
    <x v="4"/>
    <s v="Debit Card"/>
  </r>
  <r>
    <s v="ORD1288"/>
    <s v="CUST1352"/>
    <x v="4"/>
    <s v="Blender"/>
    <n v="2"/>
    <n v="182.44"/>
    <n v="7.0000000000000007E-2"/>
    <n v="339.33839999999998"/>
    <x v="226"/>
    <x v="1"/>
    <s v="Net Banking"/>
  </r>
  <r>
    <s v="ORD1289"/>
    <s v="CUST1482"/>
    <x v="0"/>
    <s v="Microwave"/>
    <n v="4"/>
    <n v="197.28"/>
    <n v="0.13"/>
    <n v="686.53440000000001"/>
    <x v="227"/>
    <x v="0"/>
    <s v="Net Banking"/>
  </r>
  <r>
    <s v="ORD1290"/>
    <s v="CUST3270"/>
    <x v="6"/>
    <s v="Foundation"/>
    <n v="3"/>
    <n v="455.41"/>
    <n v="0.2"/>
    <n v="1092.9839999999999"/>
    <x v="228"/>
    <x v="1"/>
    <s v="Cash on Delivery"/>
  </r>
  <r>
    <s v="ORD1291"/>
    <s v="CUST4016"/>
    <x v="1"/>
    <s v="T-shirt"/>
    <n v="4"/>
    <n v="375.35"/>
    <n v="0.05"/>
    <n v="1426.33"/>
    <x v="229"/>
    <x v="1"/>
    <s v="Cash on Delivery"/>
  </r>
  <r>
    <s v="ORD1292"/>
    <s v="CUST4783"/>
    <x v="1"/>
    <s v="T-shirt"/>
    <n v="4"/>
    <n v="306.31"/>
    <n v="0.06"/>
    <n v="1151.7256"/>
    <x v="61"/>
    <x v="4"/>
    <s v="Debit Card"/>
  </r>
  <r>
    <s v="ORD1293"/>
    <s v="CUST1245"/>
    <x v="5"/>
    <s v="Biography"/>
    <n v="2"/>
    <n v="464.28"/>
    <n v="0.26"/>
    <n v="687.13439999999991"/>
    <x v="204"/>
    <x v="5"/>
    <s v="UPI"/>
  </r>
  <r>
    <s v="ORD1294"/>
    <s v="CUST7232"/>
    <x v="5"/>
    <s v="Cookbook"/>
    <n v="5"/>
    <n v="231.29"/>
    <n v="0.26"/>
    <n v="855.77300000000002"/>
    <x v="94"/>
    <x v="1"/>
    <s v="Cash on Delivery"/>
  </r>
  <r>
    <s v="ORD1295"/>
    <s v="CUST1807"/>
    <x v="5"/>
    <s v="Mystery"/>
    <n v="3"/>
    <n v="154.27000000000001"/>
    <n v="0.21"/>
    <n v="365.61990000000009"/>
    <x v="230"/>
    <x v="1"/>
    <s v="Cash on Delivery"/>
  </r>
  <r>
    <s v="ORD1296"/>
    <s v="CUST9952"/>
    <x v="5"/>
    <s v="Science Fiction"/>
    <n v="2"/>
    <n v="359.19"/>
    <n v="0.26"/>
    <n v="548.48086422657775"/>
    <x v="141"/>
    <x v="1"/>
    <s v="Credit Card"/>
  </r>
  <r>
    <s v="ORD1297"/>
    <s v="CUST6946"/>
    <x v="6"/>
    <s v="Cookbook"/>
    <n v="2"/>
    <n v="31.51"/>
    <n v="0.27"/>
    <n v="46.004600000000003"/>
    <x v="189"/>
    <x v="4"/>
    <s v="Debit Card"/>
  </r>
  <r>
    <s v="ORD1298"/>
    <s v="CUST7874"/>
    <x v="6"/>
    <s v="Shampoo"/>
    <n v="2"/>
    <n v="480.61"/>
    <n v="0.19"/>
    <n v="778.58820000000003"/>
    <x v="198"/>
    <x v="2"/>
    <s v="Cash on Delivery"/>
  </r>
  <r>
    <s v="ORD1299"/>
    <s v="CUST9084"/>
    <x v="4"/>
    <s v="Puzzle"/>
    <n v="4"/>
    <n v="13.22"/>
    <n v="0.19"/>
    <n v="42.832800000000013"/>
    <x v="231"/>
    <x v="4"/>
    <s v="Debit Card"/>
  </r>
  <r>
    <s v="ORD1074"/>
    <s v="CUST3902"/>
    <x v="6"/>
    <s v="Shampoo"/>
    <n v="5"/>
    <n v="442.2"/>
    <n v="0.26"/>
    <n v="1636.14"/>
    <x v="68"/>
    <x v="1"/>
    <s v="UPI"/>
  </r>
  <r>
    <s v="ORD1016"/>
    <s v="CUST5956"/>
    <x v="3"/>
    <s v="Bicycle Helmet"/>
    <n v="3"/>
    <n v="60.76"/>
    <n v="0.08"/>
    <n v="167.69759999999999"/>
    <x v="15"/>
    <x v="3"/>
    <s v="Net Banking"/>
  </r>
  <r>
    <s v="ORD1295"/>
    <s v="CUST1807"/>
    <x v="5"/>
    <s v="Mystery"/>
    <n v="3"/>
    <n v="154.27000000000001"/>
    <n v="0.21"/>
    <n v="365.61990000000009"/>
    <x v="230"/>
    <x v="1"/>
    <s v="Cash on Delivery"/>
  </r>
  <r>
    <s v="ORD1152"/>
    <s v="CUST5055"/>
    <x v="6"/>
    <s v="Shampoo"/>
    <n v="5"/>
    <n v="193.83"/>
    <n v="0.19"/>
    <n v="785.01150000000007"/>
    <x v="134"/>
    <x v="0"/>
    <s v="Net Banking"/>
  </r>
  <r>
    <s v="ORD1169"/>
    <s v="CUST3141"/>
    <x v="0"/>
    <s v="Blender"/>
    <n v="4"/>
    <n v="143.26"/>
    <n v="0.28000000000000003"/>
    <n v="412.58879999999988"/>
    <x v="146"/>
    <x v="4"/>
    <s v="Credit Card"/>
  </r>
  <r>
    <s v="ORD1044"/>
    <s v="CUST5415"/>
    <x v="3"/>
    <s v="Tennis Racket"/>
    <n v="4"/>
    <n v="296.81"/>
    <n v="0.28999999999999998"/>
    <n v="842.94039999999995"/>
    <x v="40"/>
    <x v="3"/>
    <s v="Credit Card"/>
  </r>
  <r>
    <s v="ORD1025"/>
    <s v="CUST2193"/>
    <x v="6"/>
    <s v="Perfume"/>
    <n v="4"/>
    <n v="82.31"/>
    <n v="0.27"/>
    <n v="240.34520000000001"/>
    <x v="15"/>
    <x v="4"/>
    <s v="Debit Card"/>
  </r>
  <r>
    <s v="ORD1055"/>
    <s v="CUST4770"/>
    <x v="0"/>
    <s v="Unknown"/>
    <n v="5"/>
    <n v="363.25"/>
    <n v="0.19"/>
    <n v="1471.1624999999999"/>
    <x v="51"/>
    <x v="3"/>
    <s v="UPI"/>
  </r>
  <r>
    <s v="ORD1213"/>
    <s v="CUST9996"/>
    <x v="2"/>
    <s v="Bicycle Helmet"/>
    <n v="3"/>
    <n v="233.54"/>
    <n v="0.11"/>
    <n v="635.47478760541935"/>
    <x v="11"/>
    <x v="0"/>
    <s v="Cash on Delivery"/>
  </r>
  <r>
    <s v="ORD1091"/>
    <s v="CUST6952"/>
    <x v="6"/>
    <s v="Foundation"/>
    <n v="2"/>
    <n v="243.88561461794012"/>
    <n v="0.11"/>
    <n v="434.11639401993341"/>
    <x v="84"/>
    <x v="0"/>
    <s v="Debit Car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BC6B7E-C9E8-44DC-9DF8-A552F3B9CCF5}" name="PivotTable2"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rowHeaderCaption="Payment method">
  <location ref="E5:F11" firstHeaderRow="1" firstDataRow="1" firstDataCol="1"/>
  <pivotFields count="3">
    <pivotField axis="axisRow" allDrilled="1" subtotalTop="0" showAll="0"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Total amount" fld="1" baseField="0" baseItem="0" numFmtId="164"/>
  </dataFields>
  <formats count="4">
    <format dxfId="12">
      <pivotArea outline="0" collapsedLevelsAreSubtotals="1" fieldPosition="0"/>
    </format>
    <format dxfId="11">
      <pivotArea dataOnly="0" labelOnly="1" outline="0" axis="axisValues" fieldPosition="0"/>
    </format>
    <format dxfId="10">
      <pivotArea field="0" type="button" dataOnly="0" labelOnly="1" outline="0" axis="axisRow" fieldPosition="0"/>
    </format>
    <format dxfId="9">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0" count="1" selected="0">
            <x v="0"/>
          </reference>
        </references>
      </pivotArea>
    </chartFormat>
    <chartFormat chart="4" format="14">
      <pivotArea type="data" outline="0" fieldPosition="0">
        <references count="2">
          <reference field="4294967294" count="1" selected="0">
            <x v="0"/>
          </reference>
          <reference field="0" count="1" selected="0">
            <x v="1"/>
          </reference>
        </references>
      </pivotArea>
    </chartFormat>
    <chartFormat chart="4" format="15">
      <pivotArea type="data" outline="0" fieldPosition="0">
        <references count="2">
          <reference field="4294967294" count="1" selected="0">
            <x v="0"/>
          </reference>
          <reference field="0" count="1" selected="0">
            <x v="2"/>
          </reference>
        </references>
      </pivotArea>
    </chartFormat>
    <chartFormat chart="4" format="16">
      <pivotArea type="data" outline="0" fieldPosition="0">
        <references count="2">
          <reference field="4294967294" count="1" selected="0">
            <x v="0"/>
          </reference>
          <reference field="0" count="1" selected="0">
            <x v="3"/>
          </reference>
        </references>
      </pivotArea>
    </chartFormat>
    <chartFormat chart="4" format="17">
      <pivotArea type="data" outline="0" fieldPosition="0">
        <references count="2">
          <reference field="4294967294" count="1" selected="0">
            <x v="0"/>
          </reference>
          <reference field="0" count="1" selected="0">
            <x v="4"/>
          </reference>
        </references>
      </pivotArea>
    </chartFormat>
  </chartFormats>
  <pivotHierarchies count="2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dirty.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946C6E-890F-4E0F-80C2-7C4E98E5435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D5:F13" firstHeaderRow="0" firstDataRow="1" firstDataCol="1"/>
  <pivotFields count="11">
    <pivotField showAll="0"/>
    <pivotField showAll="0"/>
    <pivotField axis="axisRow" showAll="0">
      <items count="8">
        <item x="6"/>
        <item x="5"/>
        <item x="1"/>
        <item x="2"/>
        <item x="0"/>
        <item x="3"/>
        <item x="4"/>
        <item t="default"/>
      </items>
    </pivotField>
    <pivotField showAll="0"/>
    <pivotField dataField="1" numFmtId="2" showAll="0"/>
    <pivotField showAll="0"/>
    <pivotField showAll="0"/>
    <pivotField dataField="1" numFmtId="164" showAll="0"/>
    <pivotField showAll="0"/>
    <pivotField showAll="0">
      <items count="7">
        <item x="5"/>
        <item x="0"/>
        <item x="3"/>
        <item x="1"/>
        <item x="4"/>
        <item x="2"/>
        <item t="default"/>
      </items>
    </pivotField>
    <pivotField showAll="0"/>
  </pivotFields>
  <rowFields count="1">
    <field x="2"/>
  </rowFields>
  <rowItems count="8">
    <i>
      <x/>
    </i>
    <i>
      <x v="1"/>
    </i>
    <i>
      <x v="2"/>
    </i>
    <i>
      <x v="3"/>
    </i>
    <i>
      <x v="4"/>
    </i>
    <i>
      <x v="5"/>
    </i>
    <i>
      <x v="6"/>
    </i>
    <i t="grand">
      <x/>
    </i>
  </rowItems>
  <colFields count="1">
    <field x="-2"/>
  </colFields>
  <colItems count="2">
    <i>
      <x/>
    </i>
    <i i="1">
      <x v="1"/>
    </i>
  </colItems>
  <dataFields count="2">
    <dataField name="Units sold" fld="4" baseField="0" baseItem="0" numFmtId="2"/>
    <dataField name="Total amount" fld="7" baseField="0" baseItem="0" numFmtId="164"/>
  </dataFields>
  <formats count="2">
    <format dxfId="8">
      <pivotArea field="2" type="button" dataOnly="0" labelOnly="1" outline="0" axis="axisRow" fieldPosition="0"/>
    </format>
    <format dxfId="7">
      <pivotArea dataOnly="0" labelOnly="1" outline="0" fieldPosition="0">
        <references count="1">
          <reference field="4294967294" count="2">
            <x v="0"/>
            <x v="1"/>
          </reference>
        </references>
      </pivotArea>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94FB7F-F143-4F7C-89E5-F2F3E208FF5F}" name="PivotTable1" cacheId="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8" rowHeaderCaption="Product category">
  <location ref="F5:H13"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2">
    <i>
      <x/>
    </i>
    <i i="1">
      <x v="1"/>
    </i>
  </colItems>
  <dataFields count="2">
    <dataField name="Discount" fld="1" baseField="0" baseItem="0"/>
    <dataField name="Units sold" fld="2" baseField="0" baseItem="0"/>
  </dataFields>
  <chartFormats count="4">
    <chartFormat chart="1"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Discount"/>
    <pivotHierarchy dragToData="1" caption="Unit Price"/>
    <pivotHierarchy dragToData="1" caption="Units sold"/>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dirty.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E154FE-5B5C-4EC5-B7B9-BCC837A0B20D}" name="PivotTable6"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rowHeaderCaption="Region">
  <location ref="C5:D11"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Total Sales Amount" fld="1" baseField="0" baseItem="0" numFmtId="165"/>
  </dataFields>
  <formats count="3">
    <format dxfId="6">
      <pivotArea field="0" type="button" dataOnly="0" labelOnly="1" outline="0" axis="axisRow" fieldPosition="0"/>
    </format>
    <format dxfId="5">
      <pivotArea dataOnly="0" labelOnly="1" outline="0" axis="axisValues" fieldPosition="0"/>
    </format>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dirty.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F29E3A-9F30-4CCB-B5D9-F711E6E5546A}" name="PivotTable7"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rowHeaderCaption="Year">
  <location ref="E5:H9"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3">
    <i>
      <x/>
    </i>
    <i i="1">
      <x v="1"/>
    </i>
    <i i="2">
      <x v="2"/>
    </i>
  </colItems>
  <dataFields count="3">
    <dataField name="Discount" fld="2" baseField="0" baseItem="1"/>
    <dataField name="Quantity sold" fld="3" baseField="0" baseItem="0" numFmtId="1"/>
    <dataField name="Total Sales" fld="1" baseField="0" baseItem="0" numFmtId="165"/>
  </dataFields>
  <formats count="4">
    <format dxfId="3">
      <pivotArea outline="0" collapsedLevelsAreSubtotals="1" fieldPosition="0"/>
    </format>
    <format dxfId="2">
      <pivotArea field="0" type="button" dataOnly="0" labelOnly="1" outline="0" axis="axisRow" fieldPosition="0"/>
    </format>
    <format dxfId="1">
      <pivotArea dataOnly="0" labelOnly="1" outline="0" fieldPosition="0">
        <references count="1">
          <reference field="4294967294" count="2">
            <x v="0"/>
            <x v="2"/>
          </reference>
        </references>
      </pivotArea>
    </format>
    <format dxfId="0">
      <pivotArea outline="0" collapsedLevelsAreSubtotals="1" fieldPosition="0">
        <references count="1">
          <reference field="4294967294" count="1" selected="0">
            <x v="1"/>
          </reference>
        </references>
      </pivotArea>
    </format>
  </formats>
  <chartFormats count="1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11"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Discount"/>
    <pivotHierarchy dragToData="1"/>
    <pivotHierarchy dragToData="1" caption="Quantity sold"/>
    <pivotHierarchy dragToData="1"/>
    <pivotHierarchy dragToData="1" caption="Average of Discount"/>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dirty.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42AC230-AF56-4C82-9E0C-EFF1A14BDF00}" sourceName="[Table1].[Product Category]">
  <pivotTables>
    <pivotTable tabId="5" name="PivotTable2"/>
  </pivotTables>
  <data>
    <olap pivotCacheId="877639381">
      <levels count="2">
        <level uniqueName="[Table1].[Product Category].[(All)]" sourceCaption="(All)" count="0"/>
        <level uniqueName="[Table1].[Product Category].[Product Category]" sourceCaption="Product Category" count="7">
          <ranges>
            <range startItem="0">
              <i n="[Table1].[Product Category].&amp;[Beauty]" c="Beauty"/>
              <i n="[Table1].[Product Category].&amp;[Books]" c="Books"/>
              <i n="[Table1].[Product Category].&amp;[Clothing]" c="Clothing"/>
              <i n="[Table1].[Product Category].&amp;[Electronics]" c="Electronics"/>
              <i n="[Table1].[Product Category].&amp;[Home &amp; Kitchen]" c="Home &amp; Kitchen"/>
              <i n="[Table1].[Product Category].&amp;[Sports]" c="Sports"/>
              <i n="[Table1].[Product Category].&amp;[Toys]" c="Toys"/>
            </range>
          </ranges>
        </level>
      </levels>
      <selections count="1">
        <selection n="[Table1].[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9C63818-6A74-4CEA-8B06-0281133DC9F5}" sourceName="Region">
  <pivotTables>
    <pivotTable tabId="3" name="PivotTable1"/>
  </pivotTables>
  <data>
    <tabular pivotCacheId="1283618932">
      <items count="6">
        <i x="5" s="1"/>
        <i x="0" s="1"/>
        <i x="3"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CF690F17-7FB8-4495-9B8B-3ADD9A3D8600}" sourceName="[Table1].[Region]">
  <pivotTables>
    <pivotTable tabId="4" name="PivotTable1"/>
  </pivotTables>
  <data>
    <olap pivotCacheId="105396578">
      <levels count="2">
        <level uniqueName="[Table1].[Region].[(All)]" sourceCaption="(All)" count="0"/>
        <level uniqueName="[Table1].[Region].[Region]" sourceCaption="Region" count="5">
          <ranges>
            <range startItem="0">
              <i n="[Table1].[Region].&amp;[Central]" c="Central"/>
              <i n="[Table1].[Region].&amp;[East]" c="East"/>
              <i n="[Table1].[Region].&amp;[North]" c="North"/>
              <i n="[Table1].[Region].&amp;[South]" c="South"/>
              <i n="[Table1].[Region].&amp;[West]" c="West"/>
            </range>
          </ranges>
        </level>
      </levels>
      <selections count="1">
        <selection n="[Table1].[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9E0A448B-0D84-4438-ACE0-46F080D3DA9F}" sourceName="[Table1].[Product Category]">
  <pivotTables>
    <pivotTable tabId="13" name="PivotTable6"/>
  </pivotTables>
  <data>
    <olap pivotCacheId="1435743320">
      <levels count="2">
        <level uniqueName="[Table1].[Product Category].[(All)]" sourceCaption="(All)" count="0"/>
        <level uniqueName="[Table1].[Product Category].[Product Category]" sourceCaption="Product Category" count="7">
          <ranges>
            <range startItem="0">
              <i n="[Table1].[Product Category].&amp;[Beauty]" c="Beauty"/>
              <i n="[Table1].[Product Category].&amp;[Books]" c="Books"/>
              <i n="[Table1].[Product Category].&amp;[Clothing]" c="Clothing"/>
              <i n="[Table1].[Product Category].&amp;[Electronics]" c="Electronics"/>
              <i n="[Table1].[Product Category].&amp;[Home &amp; Kitchen]" c="Home &amp; Kitchen"/>
              <i n="[Table1].[Product Category].&amp;[Sports]" c="Sports"/>
              <i n="[Table1].[Product Category].&amp;[Toys]" c="Toys"/>
            </range>
          </ranges>
        </level>
      </levels>
      <selections count="1">
        <selection n="[Table1].[Product 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FB390601-30A0-4A66-B832-6D87DF355F65}" sourceName="[Table1].[Region]">
  <pivotTables>
    <pivotTable tabId="14" name="PivotTable7"/>
  </pivotTables>
  <data>
    <olap pivotCacheId="1381213652">
      <levels count="2">
        <level uniqueName="[Table1].[Region].[(All)]" sourceCaption="(All)" count="0"/>
        <level uniqueName="[Table1].[Region].[Region]" sourceCaption="Region" count="5">
          <ranges>
            <range startItem="0">
              <i n="[Table1].[Region].&amp;[Central]" c="Central"/>
              <i n="[Table1].[Region].&amp;[East]" c="East"/>
              <i n="[Table1].[Region].&amp;[North]" c="North"/>
              <i n="[Table1].[Region].&amp;[South]" c="South"/>
              <i n="[Table1].[Region].&amp;[West]" c="West"/>
            </range>
          </ranges>
        </level>
      </levels>
      <selections count="1">
        <selection n="[Table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ECFAA971-F6A6-4A96-8AA2-EEC913C6597D}" cache="Slicer_Product_Category" caption="Product Catego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0FD37B6-5953-488E-8D2D-DBD068468D21}" cache="Slicer_Region" caption="Reg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C0BEBF5-FD0D-42EB-B306-66728C8B1806}" cache="Slicer_Region1" caption="Region"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2" xr10:uid="{53FBA8DD-FD0C-4D68-8A52-C21EB6A2EB53}" cache="Slicer_Product_Category1" caption="Product Category" level="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22BAD0D3-F46F-45D9-8ADB-00B76FF97FE2}" cache="Slicer_Region2" caption="Region" level="1"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022A51F6-484D-423E-A903-9CDFF9AC23BD}" cache="Slicer_Product_Category" caption="Product Category" level="1" rowHeight="234950"/>
  <slicer name="Region 2" xr10:uid="{526BB860-FEF0-4F5D-882E-E276066D52FE}" cache="Slicer_Region1" caption="Region"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B32D50-282D-42B7-BA0A-66C209FB88D3}" name="Table1" displayName="Table1" ref="A1:L311" totalsRowShown="0" headerRowDxfId="24" headerRowBorderDxfId="23" tableBorderDxfId="22">
  <autoFilter ref="A1:L311" xr:uid="{A7B32D50-282D-42B7-BA0A-66C209FB88D3}"/>
  <tableColumns count="12">
    <tableColumn id="1" xr3:uid="{151BD0FA-8AB0-4896-8195-67350F133BE9}" name="Order ID"/>
    <tableColumn id="2" xr3:uid="{05041799-8BC6-44B0-9EC2-4AD5C543F543}" name="Customer ID"/>
    <tableColumn id="3" xr3:uid="{F82A6FCA-2D1B-4166-9A82-3F68546ECFD7}" name="Product Category" dataDxfId="21"/>
    <tableColumn id="4" xr3:uid="{8806B8D1-9B26-49BE-A778-252CFB58A3B6}" name="Product Name" dataDxfId="20"/>
    <tableColumn id="5" xr3:uid="{3FA9C025-E727-4D2A-934E-BC43BAFEB068}" name="Quantity" dataDxfId="19"/>
    <tableColumn id="6" xr3:uid="{00664B79-A290-4CD3-814E-21973937B9F4}" name="Unit Price"/>
    <tableColumn id="7" xr3:uid="{218339FE-8E6C-4184-895D-52757D3DADEA}" name="Discount" dataDxfId="18"/>
    <tableColumn id="8" xr3:uid="{CF176889-F8AA-4668-8CE7-B0EBFB56C8FE}" name="Total Sales" dataDxfId="17"/>
    <tableColumn id="9" xr3:uid="{F8DB2C4B-1B5D-4041-8509-55F18D364EE3}" name="Order Date" dataDxfId="16"/>
    <tableColumn id="14" xr3:uid="{EFCBB8C0-4739-4224-B46B-0B1837F2781E}" name="Year" dataDxfId="15">
      <calculatedColumnFormula>TEXT(I2,"yyyy")</calculatedColumnFormula>
    </tableColumn>
    <tableColumn id="10" xr3:uid="{20D9CD55-7517-4E0B-A871-681A6170457A}" name="Region" dataDxfId="14"/>
    <tableColumn id="11" xr3:uid="{9A97B32D-DF42-4413-9D32-4E48A110A948}" name="Payment Method" dataDxfId="13"/>
  </tableColumns>
  <tableStyleInfo name="TableStyleMedium4"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1C89CD9-4E55-4001-BEF3-E60A6B39E664}" sourceName="[Table1].[Order Date]">
  <pivotTables>
    <pivotTable tabId="4" name="PivotTable1"/>
  </pivotTables>
  <state minimalRefreshVersion="6" lastRefreshVersion="6" pivotCacheId="1353312579"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230EE57-DCEB-483F-B205-E1BCC48BD84D}" cache="Timeline_Order_Date" caption="Order Date" level="2" selectionLevel="2"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57DB2C9F-8CF2-4BDD-B31C-73D7CC7EA8E6}" cache="Timeline_Order_Date" caption="Order 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1"/>
  <sheetViews>
    <sheetView workbookViewId="0">
      <selection activeCell="M16" sqref="M16"/>
    </sheetView>
  </sheetViews>
  <sheetFormatPr defaultRowHeight="15" x14ac:dyDescent="0.25"/>
  <cols>
    <col min="1" max="1" width="13" bestFit="1" customWidth="1"/>
    <col min="2" max="2" width="16.42578125" bestFit="1" customWidth="1"/>
    <col min="3" max="3" width="20.85546875" style="18" bestFit="1" customWidth="1"/>
    <col min="4" max="4" width="18.28515625" style="18" bestFit="1" customWidth="1"/>
    <col min="5" max="5" width="13.28515625" style="4" bestFit="1" customWidth="1"/>
    <col min="6" max="6" width="14.28515625" bestFit="1" customWidth="1"/>
    <col min="7" max="7" width="13.28515625" style="4" bestFit="1" customWidth="1"/>
    <col min="8" max="8" width="15" style="7" bestFit="1" customWidth="1"/>
    <col min="9" max="10" width="16.28515625" style="12" customWidth="1"/>
    <col min="11" max="11" width="11.7109375" style="18" bestFit="1" customWidth="1"/>
    <col min="12" max="12" width="20.5703125" style="18" customWidth="1"/>
    <col min="13" max="13" width="21.140625" customWidth="1"/>
  </cols>
  <sheetData>
    <row r="1" spans="1:13" x14ac:dyDescent="0.25">
      <c r="A1" s="1" t="s">
        <v>0</v>
      </c>
      <c r="B1" s="1" t="s">
        <v>1</v>
      </c>
      <c r="C1" s="17" t="s">
        <v>2</v>
      </c>
      <c r="D1" s="17" t="s">
        <v>3</v>
      </c>
      <c r="E1" s="3" t="s">
        <v>4</v>
      </c>
      <c r="F1" s="1" t="s">
        <v>5</v>
      </c>
      <c r="G1" s="3" t="s">
        <v>6</v>
      </c>
      <c r="H1" s="6" t="s">
        <v>7</v>
      </c>
      <c r="I1" s="5" t="s">
        <v>8</v>
      </c>
      <c r="J1" s="5" t="s">
        <v>668</v>
      </c>
      <c r="K1" s="17" t="s">
        <v>9</v>
      </c>
      <c r="L1" s="17" t="s">
        <v>10</v>
      </c>
      <c r="M1" s="2"/>
    </row>
    <row r="2" spans="1:13" x14ac:dyDescent="0.25">
      <c r="A2" t="s">
        <v>11</v>
      </c>
      <c r="B2" t="s">
        <v>311</v>
      </c>
      <c r="C2" s="18" t="s">
        <v>610</v>
      </c>
      <c r="D2" s="18" t="s">
        <v>611</v>
      </c>
      <c r="E2" s="4">
        <v>1</v>
      </c>
      <c r="F2">
        <v>25.57</v>
      </c>
      <c r="G2" s="4">
        <v>7.0000000000000007E-2</v>
      </c>
      <c r="H2" s="7">
        <v>23.780100000000001</v>
      </c>
      <c r="I2" s="12">
        <v>45323</v>
      </c>
      <c r="J2" s="12" t="str">
        <f t="shared" ref="J2:J65" si="0">TEXT(I2,"yyyy")</f>
        <v>2024</v>
      </c>
      <c r="K2" s="18" t="s">
        <v>646</v>
      </c>
      <c r="L2" s="18" t="s">
        <v>651</v>
      </c>
    </row>
    <row r="3" spans="1:13" x14ac:dyDescent="0.25">
      <c r="A3" t="s">
        <v>12</v>
      </c>
      <c r="B3" t="s">
        <v>312</v>
      </c>
      <c r="C3" s="18" t="s">
        <v>604</v>
      </c>
      <c r="D3" s="18" t="s">
        <v>612</v>
      </c>
      <c r="E3" s="4">
        <v>2</v>
      </c>
      <c r="F3">
        <v>174.93</v>
      </c>
      <c r="G3" s="4">
        <v>0.11</v>
      </c>
      <c r="H3" s="7">
        <v>311.37540000000001</v>
      </c>
      <c r="I3" s="12">
        <v>45103</v>
      </c>
      <c r="J3" s="12" t="str">
        <f t="shared" si="0"/>
        <v>2023</v>
      </c>
      <c r="K3" s="18" t="s">
        <v>647</v>
      </c>
      <c r="L3" s="18" t="s">
        <v>651</v>
      </c>
    </row>
    <row r="4" spans="1:13" x14ac:dyDescent="0.25">
      <c r="A4" t="s">
        <v>13</v>
      </c>
      <c r="B4" t="s">
        <v>313</v>
      </c>
      <c r="C4" s="18" t="s">
        <v>610</v>
      </c>
      <c r="D4" s="18" t="s">
        <v>613</v>
      </c>
      <c r="E4" s="4">
        <v>3</v>
      </c>
      <c r="F4">
        <v>32.450000000000003</v>
      </c>
      <c r="G4" s="4">
        <v>0.23</v>
      </c>
      <c r="H4" s="7">
        <v>74.959500000000006</v>
      </c>
      <c r="I4" s="12">
        <v>45812</v>
      </c>
      <c r="J4" s="12" t="str">
        <f t="shared" si="0"/>
        <v>2025</v>
      </c>
      <c r="K4" s="18" t="s">
        <v>648</v>
      </c>
      <c r="L4" s="18" t="s">
        <v>652</v>
      </c>
    </row>
    <row r="5" spans="1:13" x14ac:dyDescent="0.25">
      <c r="A5" t="s">
        <v>14</v>
      </c>
      <c r="B5" t="s">
        <v>314</v>
      </c>
      <c r="C5" s="18" t="s">
        <v>604</v>
      </c>
      <c r="D5" s="18" t="s">
        <v>614</v>
      </c>
      <c r="E5" s="4">
        <v>1</v>
      </c>
      <c r="F5">
        <v>129.96</v>
      </c>
      <c r="G5" s="4">
        <v>0.11</v>
      </c>
      <c r="H5" s="7">
        <v>115.6644</v>
      </c>
      <c r="I5" s="12">
        <v>45637</v>
      </c>
      <c r="J5" s="12" t="str">
        <f t="shared" si="0"/>
        <v>2024</v>
      </c>
      <c r="K5" s="18" t="s">
        <v>646</v>
      </c>
      <c r="L5" s="18" t="s">
        <v>653</v>
      </c>
    </row>
    <row r="6" spans="1:13" x14ac:dyDescent="0.25">
      <c r="A6" t="s">
        <v>15</v>
      </c>
      <c r="B6" t="s">
        <v>315</v>
      </c>
      <c r="C6" s="18" t="s">
        <v>605</v>
      </c>
      <c r="D6" s="18" t="s">
        <v>615</v>
      </c>
      <c r="E6" s="4">
        <v>5</v>
      </c>
      <c r="F6">
        <v>254.62</v>
      </c>
      <c r="G6" s="4">
        <v>0.04</v>
      </c>
      <c r="H6" s="7">
        <v>1222.1759999999999</v>
      </c>
      <c r="I6" s="12">
        <v>45214</v>
      </c>
      <c r="J6" s="12" t="str">
        <f t="shared" si="0"/>
        <v>2023</v>
      </c>
      <c r="K6" s="18" t="s">
        <v>646</v>
      </c>
      <c r="L6" s="18" t="s">
        <v>651</v>
      </c>
    </row>
    <row r="7" spans="1:13" x14ac:dyDescent="0.25">
      <c r="A7" t="s">
        <v>16</v>
      </c>
      <c r="B7" t="s">
        <v>316</v>
      </c>
      <c r="C7" s="18" t="s">
        <v>604</v>
      </c>
      <c r="D7" s="18" t="s">
        <v>616</v>
      </c>
      <c r="E7" s="4">
        <v>1</v>
      </c>
      <c r="F7">
        <v>88.39</v>
      </c>
      <c r="G7" s="4">
        <v>0.18</v>
      </c>
      <c r="H7" s="7">
        <v>72.479800000000012</v>
      </c>
      <c r="I7" s="12">
        <v>44968</v>
      </c>
      <c r="J7" s="12" t="str">
        <f t="shared" si="0"/>
        <v>2023</v>
      </c>
      <c r="K7" s="18" t="s">
        <v>646</v>
      </c>
      <c r="L7" s="18" t="s">
        <v>652</v>
      </c>
    </row>
    <row r="8" spans="1:13" x14ac:dyDescent="0.25">
      <c r="A8" t="s">
        <v>17</v>
      </c>
      <c r="B8" t="s">
        <v>317</v>
      </c>
      <c r="C8" s="18" t="s">
        <v>605</v>
      </c>
      <c r="D8" s="18" t="s">
        <v>617</v>
      </c>
      <c r="E8" s="4">
        <v>3</v>
      </c>
      <c r="F8">
        <v>87.5</v>
      </c>
      <c r="G8" s="4">
        <v>0.28999999999999998</v>
      </c>
      <c r="H8" s="7">
        <v>186.375</v>
      </c>
      <c r="I8" s="12">
        <v>45356</v>
      </c>
      <c r="J8" s="12" t="str">
        <f t="shared" si="0"/>
        <v>2024</v>
      </c>
      <c r="K8" s="18" t="s">
        <v>646</v>
      </c>
      <c r="L8" s="18" t="s">
        <v>653</v>
      </c>
    </row>
    <row r="9" spans="1:13" x14ac:dyDescent="0.25">
      <c r="A9" t="s">
        <v>18</v>
      </c>
      <c r="B9" t="s">
        <v>318</v>
      </c>
      <c r="C9" s="18" t="s">
        <v>604</v>
      </c>
      <c r="D9" s="18" t="s">
        <v>614</v>
      </c>
      <c r="E9" s="4">
        <v>5</v>
      </c>
      <c r="F9">
        <v>249.42</v>
      </c>
      <c r="G9" s="4">
        <v>0.28000000000000003</v>
      </c>
      <c r="H9" s="7">
        <v>897.91199999999992</v>
      </c>
      <c r="I9" s="12">
        <v>45113</v>
      </c>
      <c r="J9" s="12" t="str">
        <f t="shared" si="0"/>
        <v>2023</v>
      </c>
      <c r="K9" s="18" t="s">
        <v>647</v>
      </c>
      <c r="L9" s="18" t="s">
        <v>654</v>
      </c>
    </row>
    <row r="10" spans="1:13" x14ac:dyDescent="0.25">
      <c r="A10" t="s">
        <v>19</v>
      </c>
      <c r="B10" t="s">
        <v>319</v>
      </c>
      <c r="C10" s="18" t="s">
        <v>606</v>
      </c>
      <c r="D10" s="18" t="s">
        <v>618</v>
      </c>
      <c r="E10" s="4">
        <v>5</v>
      </c>
      <c r="F10">
        <v>242.89</v>
      </c>
      <c r="G10" s="4">
        <v>0.08</v>
      </c>
      <c r="H10" s="7">
        <v>1117.2940000000001</v>
      </c>
      <c r="I10" s="12">
        <v>45054</v>
      </c>
      <c r="J10" s="12" t="str">
        <f t="shared" si="0"/>
        <v>2023</v>
      </c>
      <c r="K10" s="18" t="s">
        <v>646</v>
      </c>
      <c r="L10" s="18" t="s">
        <v>654</v>
      </c>
    </row>
    <row r="11" spans="1:13" x14ac:dyDescent="0.25">
      <c r="A11" t="s">
        <v>20</v>
      </c>
      <c r="B11" t="s">
        <v>320</v>
      </c>
      <c r="C11" s="18" t="s">
        <v>607</v>
      </c>
      <c r="D11" s="18" t="s">
        <v>619</v>
      </c>
      <c r="E11" s="4">
        <v>2</v>
      </c>
      <c r="F11">
        <v>298.27</v>
      </c>
      <c r="G11" s="4">
        <v>0.18</v>
      </c>
      <c r="H11" s="7">
        <v>524.84700638087429</v>
      </c>
      <c r="I11" s="12">
        <v>45839</v>
      </c>
      <c r="J11" s="12" t="str">
        <f t="shared" si="0"/>
        <v>2025</v>
      </c>
      <c r="K11" s="18" t="s">
        <v>647</v>
      </c>
      <c r="L11" s="18" t="s">
        <v>653</v>
      </c>
    </row>
    <row r="12" spans="1:13" x14ac:dyDescent="0.25">
      <c r="A12" t="s">
        <v>21</v>
      </c>
      <c r="B12" t="s">
        <v>321</v>
      </c>
      <c r="C12" s="18" t="s">
        <v>608</v>
      </c>
      <c r="D12" s="18" t="s">
        <v>620</v>
      </c>
      <c r="E12" s="4">
        <v>5</v>
      </c>
      <c r="F12">
        <v>241.76</v>
      </c>
      <c r="G12" s="4">
        <v>0.06</v>
      </c>
      <c r="H12" s="7">
        <v>1158.393507937913</v>
      </c>
      <c r="I12" s="12">
        <v>45054</v>
      </c>
      <c r="J12" s="12" t="str">
        <f t="shared" si="0"/>
        <v>2023</v>
      </c>
      <c r="K12" s="18" t="s">
        <v>648</v>
      </c>
      <c r="L12" s="18" t="s">
        <v>653</v>
      </c>
    </row>
    <row r="13" spans="1:13" x14ac:dyDescent="0.25">
      <c r="A13" t="s">
        <v>22</v>
      </c>
      <c r="B13" t="s">
        <v>322</v>
      </c>
      <c r="C13" s="18" t="s">
        <v>609</v>
      </c>
      <c r="D13" s="18" t="s">
        <v>621</v>
      </c>
      <c r="E13" s="4">
        <v>2</v>
      </c>
      <c r="F13">
        <v>99.91</v>
      </c>
      <c r="G13" s="4">
        <v>7.0000000000000007E-2</v>
      </c>
      <c r="H13" s="7">
        <v>185.83260000000001</v>
      </c>
      <c r="I13" s="12">
        <v>45359</v>
      </c>
      <c r="J13" s="12" t="str">
        <f t="shared" si="0"/>
        <v>2024</v>
      </c>
      <c r="K13" s="18" t="s">
        <v>647</v>
      </c>
      <c r="L13" s="18" t="s">
        <v>655</v>
      </c>
    </row>
    <row r="14" spans="1:13" x14ac:dyDescent="0.25">
      <c r="A14" t="s">
        <v>23</v>
      </c>
      <c r="B14" t="s">
        <v>323</v>
      </c>
      <c r="C14" s="18" t="s">
        <v>608</v>
      </c>
      <c r="D14" s="18" t="s">
        <v>622</v>
      </c>
      <c r="E14" s="4">
        <v>4</v>
      </c>
      <c r="F14">
        <v>11.06</v>
      </c>
      <c r="G14" s="4">
        <v>0.08</v>
      </c>
      <c r="H14" s="7">
        <v>40.700800000000001</v>
      </c>
      <c r="I14" s="12">
        <v>45159</v>
      </c>
      <c r="J14" s="12" t="str">
        <f t="shared" si="0"/>
        <v>2023</v>
      </c>
      <c r="K14" s="18" t="s">
        <v>648</v>
      </c>
      <c r="L14" s="18" t="s">
        <v>655</v>
      </c>
    </row>
    <row r="15" spans="1:13" x14ac:dyDescent="0.25">
      <c r="A15" t="s">
        <v>24</v>
      </c>
      <c r="B15" t="s">
        <v>324</v>
      </c>
      <c r="C15" s="18" t="s">
        <v>605</v>
      </c>
      <c r="D15" s="18" t="s">
        <v>617</v>
      </c>
      <c r="E15" s="4">
        <v>1</v>
      </c>
      <c r="F15">
        <v>296.25</v>
      </c>
      <c r="G15" s="4">
        <v>0.02</v>
      </c>
      <c r="H15" s="7">
        <v>290.32499999999999</v>
      </c>
      <c r="I15" s="12">
        <v>45081</v>
      </c>
      <c r="J15" s="12" t="str">
        <f t="shared" si="0"/>
        <v>2023</v>
      </c>
      <c r="K15" s="18" t="s">
        <v>646</v>
      </c>
      <c r="L15" s="18" t="s">
        <v>653</v>
      </c>
    </row>
    <row r="16" spans="1:13" x14ac:dyDescent="0.25">
      <c r="A16" t="s">
        <v>25</v>
      </c>
      <c r="B16" t="s">
        <v>325</v>
      </c>
      <c r="C16" s="18" t="s">
        <v>607</v>
      </c>
      <c r="D16" s="18" t="s">
        <v>623</v>
      </c>
      <c r="E16" s="4">
        <v>1</v>
      </c>
      <c r="F16">
        <v>296</v>
      </c>
      <c r="G16" s="4">
        <v>0.28000000000000003</v>
      </c>
      <c r="H16" s="7">
        <v>213.12</v>
      </c>
      <c r="I16" s="12">
        <v>45205</v>
      </c>
      <c r="J16" s="12" t="str">
        <f t="shared" si="0"/>
        <v>2023</v>
      </c>
      <c r="K16" s="18" t="s">
        <v>649</v>
      </c>
      <c r="L16" s="18" t="s">
        <v>651</v>
      </c>
    </row>
    <row r="17" spans="1:12" x14ac:dyDescent="0.25">
      <c r="A17" t="s">
        <v>26</v>
      </c>
      <c r="B17" t="s">
        <v>326</v>
      </c>
      <c r="C17" s="18" t="s">
        <v>606</v>
      </c>
      <c r="D17" s="18" t="s">
        <v>618</v>
      </c>
      <c r="E17" s="4">
        <v>5</v>
      </c>
      <c r="F17">
        <v>114.45</v>
      </c>
      <c r="G17" s="4">
        <v>0.04</v>
      </c>
      <c r="H17" s="7">
        <v>549.36</v>
      </c>
      <c r="I17" s="12">
        <v>45048</v>
      </c>
      <c r="J17" s="12" t="str">
        <f t="shared" si="0"/>
        <v>2023</v>
      </c>
      <c r="K17" s="18" t="s">
        <v>649</v>
      </c>
      <c r="L17" s="18" t="s">
        <v>652</v>
      </c>
    </row>
    <row r="18" spans="1:12" x14ac:dyDescent="0.25">
      <c r="A18" t="s">
        <v>27</v>
      </c>
      <c r="B18" t="s">
        <v>327</v>
      </c>
      <c r="C18" s="18" t="s">
        <v>606</v>
      </c>
      <c r="D18" s="18" t="s">
        <v>613</v>
      </c>
      <c r="E18" s="4">
        <v>3</v>
      </c>
      <c r="F18">
        <v>60.76</v>
      </c>
      <c r="G18" s="4">
        <v>0.08</v>
      </c>
      <c r="H18" s="7">
        <v>167.69759999999999</v>
      </c>
      <c r="I18" s="12">
        <v>45628</v>
      </c>
      <c r="J18" s="12" t="str">
        <f t="shared" si="0"/>
        <v>2024</v>
      </c>
      <c r="K18" s="18" t="s">
        <v>649</v>
      </c>
      <c r="L18" s="18" t="s">
        <v>652</v>
      </c>
    </row>
    <row r="19" spans="1:12" x14ac:dyDescent="0.25">
      <c r="A19" t="s">
        <v>28</v>
      </c>
      <c r="B19" t="s">
        <v>328</v>
      </c>
      <c r="C19" s="18" t="s">
        <v>606</v>
      </c>
      <c r="D19" s="18" t="s">
        <v>624</v>
      </c>
      <c r="E19" s="4">
        <v>3</v>
      </c>
      <c r="F19">
        <v>217.55</v>
      </c>
      <c r="G19" s="4">
        <v>0.01</v>
      </c>
      <c r="H19" s="7">
        <v>646.12350000000004</v>
      </c>
      <c r="I19" s="12">
        <v>44993</v>
      </c>
      <c r="J19" s="12" t="str">
        <f t="shared" si="0"/>
        <v>2023</v>
      </c>
      <c r="K19" s="18" t="s">
        <v>650</v>
      </c>
      <c r="L19" s="18" t="s">
        <v>651</v>
      </c>
    </row>
    <row r="20" spans="1:12" x14ac:dyDescent="0.25">
      <c r="A20" t="s">
        <v>29</v>
      </c>
      <c r="B20" t="s">
        <v>329</v>
      </c>
      <c r="C20" s="18" t="s">
        <v>609</v>
      </c>
      <c r="D20" s="18" t="s">
        <v>625</v>
      </c>
      <c r="E20" s="4">
        <v>3</v>
      </c>
      <c r="F20">
        <v>30.5</v>
      </c>
      <c r="G20" s="4">
        <v>0.27</v>
      </c>
      <c r="H20" s="7">
        <v>66.795000000000002</v>
      </c>
      <c r="I20" s="12">
        <v>44947</v>
      </c>
      <c r="J20" s="12" t="str">
        <f t="shared" si="0"/>
        <v>2023</v>
      </c>
      <c r="K20" s="18" t="s">
        <v>650</v>
      </c>
      <c r="L20" s="18" t="s">
        <v>654</v>
      </c>
    </row>
    <row r="21" spans="1:12" x14ac:dyDescent="0.25">
      <c r="A21" t="s">
        <v>30</v>
      </c>
      <c r="B21" t="s">
        <v>330</v>
      </c>
      <c r="C21" s="18" t="s">
        <v>609</v>
      </c>
      <c r="D21" s="18" t="s">
        <v>625</v>
      </c>
      <c r="E21" s="4">
        <v>2</v>
      </c>
      <c r="F21">
        <v>407.28</v>
      </c>
      <c r="G21" s="4">
        <v>0.01</v>
      </c>
      <c r="H21" s="7">
        <v>806.41439999999989</v>
      </c>
      <c r="I21" s="12">
        <v>45510</v>
      </c>
      <c r="J21" s="12" t="str">
        <f t="shared" si="0"/>
        <v>2024</v>
      </c>
      <c r="K21" s="18" t="s">
        <v>650</v>
      </c>
      <c r="L21" s="18" t="s">
        <v>652</v>
      </c>
    </row>
    <row r="22" spans="1:12" x14ac:dyDescent="0.25">
      <c r="A22" t="s">
        <v>31</v>
      </c>
      <c r="B22" t="s">
        <v>331</v>
      </c>
      <c r="C22" s="18" t="s">
        <v>606</v>
      </c>
      <c r="D22" s="18" t="s">
        <v>626</v>
      </c>
      <c r="E22" s="4">
        <v>4</v>
      </c>
      <c r="F22">
        <v>399.72</v>
      </c>
      <c r="G22" s="4">
        <v>7.0000000000000007E-2</v>
      </c>
      <c r="H22" s="7">
        <v>1486.9584</v>
      </c>
      <c r="I22" s="12">
        <v>45131</v>
      </c>
      <c r="J22" s="12" t="str">
        <f t="shared" si="0"/>
        <v>2023</v>
      </c>
      <c r="K22" s="18" t="s">
        <v>649</v>
      </c>
      <c r="L22" s="18" t="s">
        <v>653</v>
      </c>
    </row>
    <row r="23" spans="1:12" x14ac:dyDescent="0.25">
      <c r="A23" t="s">
        <v>32</v>
      </c>
      <c r="B23" t="s">
        <v>332</v>
      </c>
      <c r="C23" s="18" t="s">
        <v>606</v>
      </c>
      <c r="D23" s="18" t="s">
        <v>613</v>
      </c>
      <c r="E23" s="4">
        <v>1</v>
      </c>
      <c r="F23">
        <v>138</v>
      </c>
      <c r="G23" s="4">
        <v>0.01</v>
      </c>
      <c r="H23" s="7">
        <v>136.62</v>
      </c>
      <c r="I23" s="12">
        <v>45103</v>
      </c>
      <c r="J23" s="12" t="str">
        <f t="shared" si="0"/>
        <v>2023</v>
      </c>
      <c r="K23" s="18" t="s">
        <v>648</v>
      </c>
      <c r="L23" s="18" t="s">
        <v>655</v>
      </c>
    </row>
    <row r="24" spans="1:12" x14ac:dyDescent="0.25">
      <c r="A24" t="s">
        <v>33</v>
      </c>
      <c r="B24" t="s">
        <v>333</v>
      </c>
      <c r="C24" s="18" t="s">
        <v>609</v>
      </c>
      <c r="D24" s="18" t="s">
        <v>627</v>
      </c>
      <c r="E24" s="4">
        <v>5</v>
      </c>
      <c r="F24">
        <v>44.29</v>
      </c>
      <c r="G24" s="4">
        <v>0.19</v>
      </c>
      <c r="H24" s="7">
        <v>179.37450000000001</v>
      </c>
      <c r="I24" s="12">
        <v>44990</v>
      </c>
      <c r="J24" s="12" t="str">
        <f t="shared" si="0"/>
        <v>2023</v>
      </c>
      <c r="K24" s="18" t="s">
        <v>646</v>
      </c>
      <c r="L24" s="18" t="s">
        <v>652</v>
      </c>
    </row>
    <row r="25" spans="1:12" x14ac:dyDescent="0.25">
      <c r="A25" t="s">
        <v>34</v>
      </c>
      <c r="B25" t="s">
        <v>334</v>
      </c>
      <c r="C25" s="18" t="s">
        <v>604</v>
      </c>
      <c r="D25" s="18" t="s">
        <v>612</v>
      </c>
      <c r="E25" s="4">
        <v>4</v>
      </c>
      <c r="F25">
        <v>157.47</v>
      </c>
      <c r="G25" s="4">
        <v>0.09</v>
      </c>
      <c r="H25" s="7">
        <v>573.19079999999997</v>
      </c>
      <c r="I25" s="12">
        <v>45223</v>
      </c>
      <c r="J25" s="12" t="str">
        <f t="shared" si="0"/>
        <v>2023</v>
      </c>
      <c r="K25" s="18" t="s">
        <v>648</v>
      </c>
      <c r="L25" s="18" t="s">
        <v>651</v>
      </c>
    </row>
    <row r="26" spans="1:12" x14ac:dyDescent="0.25">
      <c r="A26" t="s">
        <v>35</v>
      </c>
      <c r="B26" t="s">
        <v>335</v>
      </c>
      <c r="C26" s="18" t="s">
        <v>606</v>
      </c>
      <c r="D26" s="18" t="s">
        <v>628</v>
      </c>
      <c r="E26" s="4">
        <v>3</v>
      </c>
      <c r="F26">
        <v>476.48</v>
      </c>
      <c r="G26" s="4">
        <v>0.2</v>
      </c>
      <c r="H26" s="7">
        <v>1143.5519999999999</v>
      </c>
      <c r="I26" s="12">
        <v>45264</v>
      </c>
      <c r="J26" s="12" t="str">
        <f t="shared" si="0"/>
        <v>2023</v>
      </c>
      <c r="K26" s="18" t="s">
        <v>647</v>
      </c>
      <c r="L26" s="18" t="s">
        <v>653</v>
      </c>
    </row>
    <row r="27" spans="1:12" x14ac:dyDescent="0.25">
      <c r="A27" t="s">
        <v>36</v>
      </c>
      <c r="B27" t="s">
        <v>336</v>
      </c>
      <c r="C27" s="18" t="s">
        <v>609</v>
      </c>
      <c r="D27" s="18" t="s">
        <v>629</v>
      </c>
      <c r="E27" s="4">
        <v>4</v>
      </c>
      <c r="F27">
        <v>82.31</v>
      </c>
      <c r="G27" s="4">
        <v>0.27</v>
      </c>
      <c r="H27" s="7">
        <v>240.34520000000001</v>
      </c>
      <c r="I27" s="12">
        <v>45628</v>
      </c>
      <c r="J27" s="12" t="str">
        <f t="shared" si="0"/>
        <v>2024</v>
      </c>
      <c r="K27" s="18" t="s">
        <v>650</v>
      </c>
      <c r="L27" s="18" t="s">
        <v>654</v>
      </c>
    </row>
    <row r="28" spans="1:12" x14ac:dyDescent="0.25">
      <c r="A28" t="s">
        <v>37</v>
      </c>
      <c r="B28" t="s">
        <v>337</v>
      </c>
      <c r="C28" s="18" t="s">
        <v>604</v>
      </c>
      <c r="D28" s="18" t="s">
        <v>618</v>
      </c>
      <c r="E28" s="4">
        <v>4</v>
      </c>
      <c r="F28">
        <v>446.8</v>
      </c>
      <c r="G28" s="4">
        <v>0.25</v>
      </c>
      <c r="H28" s="7">
        <v>1340.4</v>
      </c>
      <c r="I28" s="12">
        <v>45599</v>
      </c>
      <c r="J28" s="12" t="str">
        <f t="shared" si="0"/>
        <v>2024</v>
      </c>
      <c r="K28" s="18" t="s">
        <v>648</v>
      </c>
      <c r="L28" s="18" t="s">
        <v>652</v>
      </c>
    </row>
    <row r="29" spans="1:12" x14ac:dyDescent="0.25">
      <c r="A29" t="s">
        <v>38</v>
      </c>
      <c r="B29" t="s">
        <v>338</v>
      </c>
      <c r="C29" s="18" t="s">
        <v>607</v>
      </c>
      <c r="D29" s="18" t="s">
        <v>619</v>
      </c>
      <c r="E29" s="4">
        <v>3</v>
      </c>
      <c r="F29">
        <v>150.01</v>
      </c>
      <c r="G29" s="4">
        <v>0.1</v>
      </c>
      <c r="H29" s="7">
        <v>405.02699999999999</v>
      </c>
      <c r="I29" s="12">
        <v>45232</v>
      </c>
      <c r="J29" s="12" t="str">
        <f t="shared" si="0"/>
        <v>2023</v>
      </c>
      <c r="K29" s="18" t="s">
        <v>650</v>
      </c>
      <c r="L29" s="18" t="s">
        <v>654</v>
      </c>
    </row>
    <row r="30" spans="1:12" x14ac:dyDescent="0.25">
      <c r="A30" t="s">
        <v>39</v>
      </c>
      <c r="B30" t="s">
        <v>339</v>
      </c>
      <c r="C30" s="18" t="s">
        <v>608</v>
      </c>
      <c r="D30" s="18" t="s">
        <v>630</v>
      </c>
      <c r="E30" s="4">
        <v>1</v>
      </c>
      <c r="F30">
        <v>200.84</v>
      </c>
      <c r="G30" s="4">
        <v>0.26</v>
      </c>
      <c r="H30" s="7">
        <v>148.6216</v>
      </c>
      <c r="I30" s="12">
        <v>45329</v>
      </c>
      <c r="J30" s="12" t="str">
        <f t="shared" si="0"/>
        <v>2024</v>
      </c>
      <c r="K30" s="18" t="s">
        <v>647</v>
      </c>
      <c r="L30" s="18" t="s">
        <v>652</v>
      </c>
    </row>
    <row r="31" spans="1:12" x14ac:dyDescent="0.25">
      <c r="A31" t="s">
        <v>40</v>
      </c>
      <c r="B31" t="s">
        <v>340</v>
      </c>
      <c r="C31" s="18" t="s">
        <v>609</v>
      </c>
      <c r="D31" s="18" t="s">
        <v>629</v>
      </c>
      <c r="E31" s="4">
        <v>2</v>
      </c>
      <c r="F31">
        <v>223.56</v>
      </c>
      <c r="G31" s="4">
        <v>0.12</v>
      </c>
      <c r="H31" s="7">
        <v>393.46559999999999</v>
      </c>
      <c r="I31" s="12">
        <v>45723</v>
      </c>
      <c r="J31" s="12" t="str">
        <f t="shared" si="0"/>
        <v>2025</v>
      </c>
      <c r="K31" s="18" t="s">
        <v>648</v>
      </c>
      <c r="L31" s="18" t="s">
        <v>654</v>
      </c>
    </row>
    <row r="32" spans="1:12" x14ac:dyDescent="0.25">
      <c r="A32" t="s">
        <v>41</v>
      </c>
      <c r="B32" t="s">
        <v>341</v>
      </c>
      <c r="C32" s="18" t="s">
        <v>609</v>
      </c>
      <c r="D32" s="18" t="s">
        <v>631</v>
      </c>
      <c r="E32" s="4">
        <v>4</v>
      </c>
      <c r="F32">
        <v>99.05</v>
      </c>
      <c r="G32" s="4">
        <v>0.11</v>
      </c>
      <c r="H32" s="7">
        <v>352.61799999999999</v>
      </c>
      <c r="I32" s="12">
        <v>45094</v>
      </c>
      <c r="J32" s="12" t="str">
        <f t="shared" si="0"/>
        <v>2023</v>
      </c>
      <c r="K32" s="18" t="s">
        <v>648</v>
      </c>
      <c r="L32" s="18" t="s">
        <v>652</v>
      </c>
    </row>
    <row r="33" spans="1:12" x14ac:dyDescent="0.25">
      <c r="A33" t="s">
        <v>42</v>
      </c>
      <c r="B33" t="s">
        <v>342</v>
      </c>
      <c r="C33" s="18" t="s">
        <v>608</v>
      </c>
      <c r="D33" s="18" t="s">
        <v>632</v>
      </c>
      <c r="E33" s="4">
        <v>1</v>
      </c>
      <c r="F33">
        <v>43.62</v>
      </c>
      <c r="G33" s="4">
        <v>0.23</v>
      </c>
      <c r="H33" s="7">
        <v>33.587400000000002</v>
      </c>
      <c r="I33" s="12">
        <v>45295</v>
      </c>
      <c r="J33" s="12" t="str">
        <f t="shared" si="0"/>
        <v>2024</v>
      </c>
      <c r="K33" s="18" t="s">
        <v>646</v>
      </c>
      <c r="L33" s="18" t="s">
        <v>654</v>
      </c>
    </row>
    <row r="34" spans="1:12" x14ac:dyDescent="0.25">
      <c r="A34" t="s">
        <v>43</v>
      </c>
      <c r="B34" t="s">
        <v>343</v>
      </c>
      <c r="C34" s="18" t="s">
        <v>604</v>
      </c>
      <c r="D34" s="18" t="s">
        <v>612</v>
      </c>
      <c r="E34" s="4">
        <v>3</v>
      </c>
      <c r="F34">
        <v>482.23</v>
      </c>
      <c r="G34" s="4">
        <v>0.23</v>
      </c>
      <c r="H34" s="7">
        <v>1113.9512999999999</v>
      </c>
      <c r="I34" s="12">
        <v>45175</v>
      </c>
      <c r="J34" s="12" t="str">
        <f t="shared" si="0"/>
        <v>2023</v>
      </c>
      <c r="K34" s="18" t="s">
        <v>646</v>
      </c>
      <c r="L34" s="18" t="s">
        <v>653</v>
      </c>
    </row>
    <row r="35" spans="1:12" x14ac:dyDescent="0.25">
      <c r="A35" t="s">
        <v>44</v>
      </c>
      <c r="B35" t="s">
        <v>344</v>
      </c>
      <c r="C35" s="18" t="s">
        <v>609</v>
      </c>
      <c r="D35" s="18" t="s">
        <v>625</v>
      </c>
      <c r="E35" s="4">
        <v>2</v>
      </c>
      <c r="F35">
        <v>157.78</v>
      </c>
      <c r="G35" s="4">
        <v>0.24</v>
      </c>
      <c r="H35" s="7">
        <v>239.82560000000001</v>
      </c>
      <c r="I35" s="12">
        <v>44948</v>
      </c>
      <c r="J35" s="12" t="str">
        <f t="shared" si="0"/>
        <v>2023</v>
      </c>
      <c r="K35" s="18" t="s">
        <v>646</v>
      </c>
      <c r="L35" s="18" t="s">
        <v>651</v>
      </c>
    </row>
    <row r="36" spans="1:12" x14ac:dyDescent="0.25">
      <c r="A36" t="s">
        <v>45</v>
      </c>
      <c r="B36" t="s">
        <v>345</v>
      </c>
      <c r="C36" s="18" t="s">
        <v>608</v>
      </c>
      <c r="D36" s="18" t="s">
        <v>626</v>
      </c>
      <c r="E36" s="4">
        <v>3</v>
      </c>
      <c r="F36">
        <v>223.39</v>
      </c>
      <c r="G36" s="4">
        <v>0.18</v>
      </c>
      <c r="H36" s="7">
        <v>549.5394</v>
      </c>
      <c r="I36" s="12">
        <v>45055</v>
      </c>
      <c r="J36" s="12" t="str">
        <f t="shared" si="0"/>
        <v>2023</v>
      </c>
      <c r="K36" s="18" t="s">
        <v>648</v>
      </c>
      <c r="L36" s="18" t="s">
        <v>655</v>
      </c>
    </row>
    <row r="37" spans="1:12" x14ac:dyDescent="0.25">
      <c r="A37" t="s">
        <v>46</v>
      </c>
      <c r="B37" t="s">
        <v>346</v>
      </c>
      <c r="C37" s="18" t="s">
        <v>608</v>
      </c>
      <c r="D37" s="18" t="s">
        <v>620</v>
      </c>
      <c r="E37" s="4">
        <v>5</v>
      </c>
      <c r="F37">
        <v>252.21</v>
      </c>
      <c r="G37" s="4">
        <v>0.05</v>
      </c>
      <c r="H37" s="7">
        <v>1197.9974999999999</v>
      </c>
      <c r="I37" s="12">
        <v>45059</v>
      </c>
      <c r="J37" s="12" t="str">
        <f t="shared" si="0"/>
        <v>2023</v>
      </c>
      <c r="K37" s="18" t="s">
        <v>649</v>
      </c>
      <c r="L37" s="18" t="s">
        <v>655</v>
      </c>
    </row>
    <row r="38" spans="1:12" x14ac:dyDescent="0.25">
      <c r="A38" t="s">
        <v>47</v>
      </c>
      <c r="B38" t="s">
        <v>347</v>
      </c>
      <c r="C38" s="18" t="s">
        <v>604</v>
      </c>
      <c r="D38" s="18" t="s">
        <v>633</v>
      </c>
      <c r="E38" s="4">
        <v>4</v>
      </c>
      <c r="F38">
        <v>127.76</v>
      </c>
      <c r="G38" s="4">
        <v>0.19</v>
      </c>
      <c r="H38" s="7">
        <v>413.94240000000002</v>
      </c>
      <c r="I38" s="12">
        <v>45170</v>
      </c>
      <c r="J38" s="12" t="str">
        <f t="shared" si="0"/>
        <v>2023</v>
      </c>
      <c r="K38" s="18" t="s">
        <v>649</v>
      </c>
      <c r="L38" s="18" t="s">
        <v>654</v>
      </c>
    </row>
    <row r="39" spans="1:12" x14ac:dyDescent="0.25">
      <c r="A39" t="s">
        <v>48</v>
      </c>
      <c r="B39" t="s">
        <v>348</v>
      </c>
      <c r="C39" s="18" t="s">
        <v>607</v>
      </c>
      <c r="D39" s="18" t="s">
        <v>634</v>
      </c>
      <c r="E39" s="4">
        <v>5</v>
      </c>
      <c r="F39">
        <v>232.34</v>
      </c>
      <c r="G39" s="4">
        <v>0.08</v>
      </c>
      <c r="H39" s="7">
        <v>1068.7639999999999</v>
      </c>
      <c r="I39" s="12">
        <v>45025</v>
      </c>
      <c r="J39" s="12" t="str">
        <f t="shared" si="0"/>
        <v>2023</v>
      </c>
      <c r="K39" s="18" t="s">
        <v>647</v>
      </c>
      <c r="L39" s="18" t="s">
        <v>655</v>
      </c>
    </row>
    <row r="40" spans="1:12" x14ac:dyDescent="0.25">
      <c r="A40" t="s">
        <v>49</v>
      </c>
      <c r="B40" t="s">
        <v>349</v>
      </c>
      <c r="C40" s="18" t="s">
        <v>608</v>
      </c>
      <c r="D40" s="18" t="s">
        <v>635</v>
      </c>
      <c r="E40" s="4">
        <v>5</v>
      </c>
      <c r="F40">
        <v>417.99</v>
      </c>
      <c r="G40" s="4">
        <v>7.0000000000000007E-2</v>
      </c>
      <c r="H40" s="7">
        <v>1943.6534999999999</v>
      </c>
      <c r="I40" s="12">
        <v>45139</v>
      </c>
      <c r="J40" s="12" t="str">
        <f t="shared" si="0"/>
        <v>2023</v>
      </c>
      <c r="K40" s="18" t="s">
        <v>649</v>
      </c>
      <c r="L40" s="18" t="s">
        <v>653</v>
      </c>
    </row>
    <row r="41" spans="1:12" x14ac:dyDescent="0.25">
      <c r="A41" t="s">
        <v>50</v>
      </c>
      <c r="B41" t="s">
        <v>350</v>
      </c>
      <c r="C41" s="18" t="s">
        <v>606</v>
      </c>
      <c r="D41" s="18" t="s">
        <v>626</v>
      </c>
      <c r="E41" s="4">
        <v>1</v>
      </c>
      <c r="F41">
        <v>225.83</v>
      </c>
      <c r="G41" s="4">
        <v>0.28999999999999998</v>
      </c>
      <c r="H41" s="7">
        <v>160.33930000000001</v>
      </c>
      <c r="I41" s="12">
        <v>44966</v>
      </c>
      <c r="J41" s="12" t="str">
        <f t="shared" si="0"/>
        <v>2023</v>
      </c>
      <c r="K41" s="18" t="s">
        <v>647</v>
      </c>
      <c r="L41" s="18" t="s">
        <v>651</v>
      </c>
    </row>
    <row r="42" spans="1:12" x14ac:dyDescent="0.25">
      <c r="A42" t="s">
        <v>51</v>
      </c>
      <c r="B42" t="s">
        <v>351</v>
      </c>
      <c r="C42" s="18" t="s">
        <v>606</v>
      </c>
      <c r="D42" s="18" t="s">
        <v>613</v>
      </c>
      <c r="E42" s="4">
        <v>1</v>
      </c>
      <c r="F42">
        <v>384.58</v>
      </c>
      <c r="G42" s="4">
        <v>0.23</v>
      </c>
      <c r="H42" s="7">
        <v>296.1266</v>
      </c>
      <c r="I42" s="12">
        <v>45153</v>
      </c>
      <c r="J42" s="12" t="str">
        <f t="shared" si="0"/>
        <v>2023</v>
      </c>
      <c r="K42" s="18" t="s">
        <v>646</v>
      </c>
      <c r="L42" s="18" t="s">
        <v>651</v>
      </c>
    </row>
    <row r="43" spans="1:12" x14ac:dyDescent="0.25">
      <c r="A43" t="s">
        <v>52</v>
      </c>
      <c r="B43" t="s">
        <v>352</v>
      </c>
      <c r="C43" s="18" t="s">
        <v>604</v>
      </c>
      <c r="D43" s="18" t="s">
        <v>611</v>
      </c>
      <c r="E43" s="4">
        <v>1</v>
      </c>
      <c r="F43">
        <v>280.48</v>
      </c>
      <c r="G43" s="4">
        <v>0</v>
      </c>
      <c r="H43" s="7">
        <v>280.48</v>
      </c>
      <c r="I43" s="12">
        <v>44937</v>
      </c>
      <c r="J43" s="12" t="str">
        <f t="shared" si="0"/>
        <v>2023</v>
      </c>
      <c r="K43" s="18" t="s">
        <v>649</v>
      </c>
      <c r="L43" s="18" t="s">
        <v>653</v>
      </c>
    </row>
    <row r="44" spans="1:12" x14ac:dyDescent="0.25">
      <c r="A44" t="s">
        <v>53</v>
      </c>
      <c r="B44" t="s">
        <v>353</v>
      </c>
      <c r="C44" s="18" t="s">
        <v>604</v>
      </c>
      <c r="D44" s="18" t="s">
        <v>630</v>
      </c>
      <c r="E44" s="4">
        <v>2</v>
      </c>
      <c r="F44">
        <v>120.16</v>
      </c>
      <c r="G44" s="4">
        <v>0.27</v>
      </c>
      <c r="H44" s="7">
        <v>175.43360000000001</v>
      </c>
      <c r="I44" s="12">
        <v>45079</v>
      </c>
      <c r="J44" s="12" t="str">
        <f t="shared" si="0"/>
        <v>2023</v>
      </c>
      <c r="K44" s="18" t="s">
        <v>650</v>
      </c>
      <c r="L44" s="18" t="s">
        <v>652</v>
      </c>
    </row>
    <row r="45" spans="1:12" x14ac:dyDescent="0.25">
      <c r="A45" t="s">
        <v>54</v>
      </c>
      <c r="B45" t="s">
        <v>354</v>
      </c>
      <c r="C45" s="18" t="s">
        <v>608</v>
      </c>
      <c r="D45" s="18" t="s">
        <v>635</v>
      </c>
      <c r="E45" s="4">
        <v>3</v>
      </c>
      <c r="F45">
        <v>303.04000000000002</v>
      </c>
      <c r="G45" s="4">
        <v>0.22</v>
      </c>
      <c r="H45" s="7">
        <v>709.11360000000013</v>
      </c>
      <c r="I45" s="12">
        <v>45323</v>
      </c>
      <c r="J45" s="12" t="str">
        <f t="shared" si="0"/>
        <v>2024</v>
      </c>
      <c r="K45" s="18" t="s">
        <v>646</v>
      </c>
      <c r="L45" s="18" t="s">
        <v>655</v>
      </c>
    </row>
    <row r="46" spans="1:12" x14ac:dyDescent="0.25">
      <c r="A46" t="s">
        <v>55</v>
      </c>
      <c r="B46" t="s">
        <v>355</v>
      </c>
      <c r="C46" s="18" t="s">
        <v>606</v>
      </c>
      <c r="D46" s="18" t="s">
        <v>628</v>
      </c>
      <c r="E46" s="4">
        <v>4</v>
      </c>
      <c r="F46">
        <v>296.81</v>
      </c>
      <c r="G46" s="4">
        <v>0.28999999999999998</v>
      </c>
      <c r="H46" s="7">
        <v>842.94039999999995</v>
      </c>
      <c r="I46" s="12">
        <v>45136</v>
      </c>
      <c r="J46" s="12" t="str">
        <f t="shared" si="0"/>
        <v>2023</v>
      </c>
      <c r="K46" s="18" t="s">
        <v>649</v>
      </c>
      <c r="L46" s="18" t="s">
        <v>653</v>
      </c>
    </row>
    <row r="47" spans="1:12" x14ac:dyDescent="0.25">
      <c r="A47" t="s">
        <v>56</v>
      </c>
      <c r="B47" t="s">
        <v>356</v>
      </c>
      <c r="C47" s="18" t="s">
        <v>608</v>
      </c>
      <c r="D47" s="18" t="s">
        <v>636</v>
      </c>
      <c r="E47" s="4">
        <v>3</v>
      </c>
      <c r="F47">
        <v>66.8</v>
      </c>
      <c r="G47" s="4">
        <v>0.26</v>
      </c>
      <c r="H47" s="7">
        <v>148.29599999999999</v>
      </c>
      <c r="I47" s="12">
        <v>44927</v>
      </c>
      <c r="J47" s="12" t="str">
        <f t="shared" si="0"/>
        <v>2023</v>
      </c>
      <c r="K47" s="18" t="s">
        <v>648</v>
      </c>
      <c r="L47" s="18" t="s">
        <v>653</v>
      </c>
    </row>
    <row r="48" spans="1:12" x14ac:dyDescent="0.25">
      <c r="A48" t="s">
        <v>57</v>
      </c>
      <c r="B48" t="s">
        <v>357</v>
      </c>
      <c r="C48" s="18" t="s">
        <v>606</v>
      </c>
      <c r="D48" s="18" t="s">
        <v>618</v>
      </c>
      <c r="E48" s="4">
        <v>5</v>
      </c>
      <c r="F48">
        <v>224.68</v>
      </c>
      <c r="G48" s="4">
        <v>0.04</v>
      </c>
      <c r="H48" s="7">
        <v>1078.4639999999999</v>
      </c>
      <c r="I48" s="12">
        <v>45149</v>
      </c>
      <c r="J48" s="12" t="str">
        <f t="shared" si="0"/>
        <v>2023</v>
      </c>
      <c r="K48" s="18" t="s">
        <v>650</v>
      </c>
      <c r="L48" s="18" t="s">
        <v>652</v>
      </c>
    </row>
    <row r="49" spans="1:12" x14ac:dyDescent="0.25">
      <c r="A49" t="s">
        <v>58</v>
      </c>
      <c r="B49" t="s">
        <v>358</v>
      </c>
      <c r="C49" s="18" t="s">
        <v>606</v>
      </c>
      <c r="D49" s="18" t="s">
        <v>618</v>
      </c>
      <c r="E49" s="4">
        <v>1</v>
      </c>
      <c r="F49">
        <v>361.14</v>
      </c>
      <c r="G49" s="4">
        <v>0.12</v>
      </c>
      <c r="H49" s="7">
        <v>317.8032</v>
      </c>
      <c r="I49" s="12">
        <v>45816</v>
      </c>
      <c r="J49" s="12" t="str">
        <f t="shared" si="0"/>
        <v>2025</v>
      </c>
      <c r="K49" s="18" t="s">
        <v>648</v>
      </c>
      <c r="L49" s="18" t="s">
        <v>655</v>
      </c>
    </row>
    <row r="50" spans="1:12" x14ac:dyDescent="0.25">
      <c r="A50" t="s">
        <v>59</v>
      </c>
      <c r="B50" t="s">
        <v>359</v>
      </c>
      <c r="C50" s="18" t="s">
        <v>604</v>
      </c>
      <c r="D50" s="18" t="s">
        <v>633</v>
      </c>
      <c r="E50" s="4">
        <v>4</v>
      </c>
      <c r="F50">
        <v>258.79000000000002</v>
      </c>
      <c r="G50" s="4">
        <v>0.08</v>
      </c>
      <c r="H50" s="7">
        <v>952.34720000000016</v>
      </c>
      <c r="I50" s="12">
        <v>45757</v>
      </c>
      <c r="J50" s="12" t="str">
        <f t="shared" si="0"/>
        <v>2025</v>
      </c>
      <c r="K50" s="18" t="s">
        <v>650</v>
      </c>
      <c r="L50" s="18" t="s">
        <v>651</v>
      </c>
    </row>
    <row r="51" spans="1:12" x14ac:dyDescent="0.25">
      <c r="A51" t="s">
        <v>60</v>
      </c>
      <c r="B51" t="s">
        <v>360</v>
      </c>
      <c r="C51" s="18" t="s">
        <v>610</v>
      </c>
      <c r="D51" s="18" t="s">
        <v>637</v>
      </c>
      <c r="E51" s="4">
        <v>2</v>
      </c>
      <c r="F51">
        <v>390.02</v>
      </c>
      <c r="G51" s="4">
        <v>0.1</v>
      </c>
      <c r="H51" s="7">
        <v>702.03599999999994</v>
      </c>
      <c r="I51" s="12">
        <v>45358</v>
      </c>
      <c r="J51" s="12" t="str">
        <f t="shared" si="0"/>
        <v>2024</v>
      </c>
      <c r="K51" s="18" t="s">
        <v>650</v>
      </c>
      <c r="L51" s="18" t="s">
        <v>651</v>
      </c>
    </row>
    <row r="52" spans="1:12" x14ac:dyDescent="0.25">
      <c r="A52" t="s">
        <v>61</v>
      </c>
      <c r="B52" t="s">
        <v>361</v>
      </c>
      <c r="C52" s="18" t="s">
        <v>606</v>
      </c>
      <c r="D52" s="18" t="s">
        <v>626</v>
      </c>
      <c r="E52" s="4">
        <v>4</v>
      </c>
      <c r="F52">
        <v>210.89</v>
      </c>
      <c r="G52" s="4">
        <v>0.02</v>
      </c>
      <c r="H52" s="7">
        <v>826.6887999999999</v>
      </c>
      <c r="I52" s="12">
        <v>45062</v>
      </c>
      <c r="J52" s="12" t="str">
        <f t="shared" si="0"/>
        <v>2023</v>
      </c>
      <c r="K52" s="18" t="s">
        <v>646</v>
      </c>
      <c r="L52" s="18" t="s">
        <v>651</v>
      </c>
    </row>
    <row r="53" spans="1:12" x14ac:dyDescent="0.25">
      <c r="A53" t="s">
        <v>62</v>
      </c>
      <c r="B53" t="s">
        <v>362</v>
      </c>
      <c r="C53" s="18" t="s">
        <v>610</v>
      </c>
      <c r="D53" s="18" t="s">
        <v>638</v>
      </c>
      <c r="E53" s="4">
        <v>1</v>
      </c>
      <c r="F53">
        <v>345.36</v>
      </c>
      <c r="G53" s="4">
        <v>0.3</v>
      </c>
      <c r="H53" s="7">
        <v>241.75200000000001</v>
      </c>
      <c r="I53" s="12">
        <v>45238</v>
      </c>
      <c r="J53" s="12" t="str">
        <f t="shared" si="0"/>
        <v>2023</v>
      </c>
      <c r="K53" s="18" t="s">
        <v>647</v>
      </c>
      <c r="L53" s="18" t="s">
        <v>651</v>
      </c>
    </row>
    <row r="54" spans="1:12" x14ac:dyDescent="0.25">
      <c r="A54" t="s">
        <v>63</v>
      </c>
      <c r="B54" t="s">
        <v>363</v>
      </c>
      <c r="C54" s="18" t="s">
        <v>606</v>
      </c>
      <c r="D54" s="18" t="s">
        <v>639</v>
      </c>
      <c r="E54" s="4">
        <v>4</v>
      </c>
      <c r="F54">
        <v>211.91</v>
      </c>
      <c r="G54" s="4">
        <v>0.05</v>
      </c>
      <c r="H54" s="7">
        <v>848.92914033359784</v>
      </c>
      <c r="I54" s="12">
        <v>45333</v>
      </c>
      <c r="J54" s="12" t="str">
        <f t="shared" si="0"/>
        <v>2024</v>
      </c>
      <c r="K54" s="18" t="s">
        <v>648</v>
      </c>
      <c r="L54" s="18" t="s">
        <v>655</v>
      </c>
    </row>
    <row r="55" spans="1:12" x14ac:dyDescent="0.25">
      <c r="A55" t="s">
        <v>64</v>
      </c>
      <c r="B55" t="s">
        <v>364</v>
      </c>
      <c r="C55" s="18" t="s">
        <v>609</v>
      </c>
      <c r="D55" s="18" t="s">
        <v>631</v>
      </c>
      <c r="E55" s="4">
        <v>4</v>
      </c>
      <c r="F55">
        <v>87.41</v>
      </c>
      <c r="G55" s="4">
        <v>0.28000000000000003</v>
      </c>
      <c r="H55" s="7">
        <v>251.74080000000001</v>
      </c>
      <c r="I55" s="12">
        <v>44991</v>
      </c>
      <c r="J55" s="12" t="str">
        <f t="shared" si="0"/>
        <v>2023</v>
      </c>
      <c r="K55" s="18" t="s">
        <v>649</v>
      </c>
      <c r="L55" s="18" t="s">
        <v>651</v>
      </c>
    </row>
    <row r="56" spans="1:12" x14ac:dyDescent="0.25">
      <c r="A56" t="s">
        <v>65</v>
      </c>
      <c r="B56" t="s">
        <v>365</v>
      </c>
      <c r="C56" s="18" t="s">
        <v>605</v>
      </c>
      <c r="D56" s="18" t="s">
        <v>615</v>
      </c>
      <c r="E56" s="4">
        <v>3</v>
      </c>
      <c r="F56">
        <v>154.66</v>
      </c>
      <c r="G56" s="4">
        <v>0.08</v>
      </c>
      <c r="H56" s="7">
        <v>426.86160000000001</v>
      </c>
      <c r="I56" s="12">
        <v>45455</v>
      </c>
      <c r="J56" s="12" t="str">
        <f t="shared" si="0"/>
        <v>2024</v>
      </c>
      <c r="K56" s="18" t="s">
        <v>646</v>
      </c>
      <c r="L56" s="18" t="s">
        <v>651</v>
      </c>
    </row>
    <row r="57" spans="1:12" x14ac:dyDescent="0.25">
      <c r="A57" t="s">
        <v>66</v>
      </c>
      <c r="B57" t="s">
        <v>366</v>
      </c>
      <c r="C57" s="18" t="s">
        <v>610</v>
      </c>
      <c r="D57" s="18" t="s">
        <v>656</v>
      </c>
      <c r="E57" s="4">
        <v>5</v>
      </c>
      <c r="F57">
        <v>363.25</v>
      </c>
      <c r="G57" s="4">
        <v>0.19</v>
      </c>
      <c r="H57" s="7">
        <v>1471.1624999999999</v>
      </c>
      <c r="I57" s="12">
        <v>45727</v>
      </c>
      <c r="J57" s="12" t="str">
        <f t="shared" si="0"/>
        <v>2025</v>
      </c>
      <c r="K57" s="18" t="s">
        <v>649</v>
      </c>
      <c r="L57" s="18" t="s">
        <v>651</v>
      </c>
    </row>
    <row r="58" spans="1:12" x14ac:dyDescent="0.25">
      <c r="A58" t="s">
        <v>67</v>
      </c>
      <c r="B58" t="s">
        <v>367</v>
      </c>
      <c r="C58" s="18" t="s">
        <v>610</v>
      </c>
      <c r="D58" s="18" t="s">
        <v>638</v>
      </c>
      <c r="E58" s="4">
        <v>2</v>
      </c>
      <c r="F58">
        <v>457.61</v>
      </c>
      <c r="G58" s="4">
        <v>0.08</v>
      </c>
      <c r="H58" s="7">
        <v>842.00240000000008</v>
      </c>
      <c r="I58" s="12">
        <v>45173</v>
      </c>
      <c r="J58" s="12" t="str">
        <f t="shared" si="0"/>
        <v>2023</v>
      </c>
      <c r="K58" s="18" t="s">
        <v>649</v>
      </c>
      <c r="L58" s="18" t="s">
        <v>653</v>
      </c>
    </row>
    <row r="59" spans="1:12" x14ac:dyDescent="0.25">
      <c r="A59" t="s">
        <v>68</v>
      </c>
      <c r="B59" t="s">
        <v>368</v>
      </c>
      <c r="C59" s="18" t="s">
        <v>609</v>
      </c>
      <c r="D59" s="18" t="s">
        <v>627</v>
      </c>
      <c r="E59" s="4">
        <v>5</v>
      </c>
      <c r="F59">
        <v>203.34</v>
      </c>
      <c r="G59" s="4">
        <v>0.16</v>
      </c>
      <c r="H59" s="7">
        <v>854.02800000000002</v>
      </c>
      <c r="I59" s="12">
        <v>45271</v>
      </c>
      <c r="J59" s="12" t="str">
        <f t="shared" si="0"/>
        <v>2023</v>
      </c>
      <c r="K59" s="18" t="s">
        <v>646</v>
      </c>
      <c r="L59" s="18" t="s">
        <v>651</v>
      </c>
    </row>
    <row r="60" spans="1:12" x14ac:dyDescent="0.25">
      <c r="A60" t="s">
        <v>69</v>
      </c>
      <c r="B60" t="s">
        <v>369</v>
      </c>
      <c r="C60" s="18" t="s">
        <v>608</v>
      </c>
      <c r="D60" s="18" t="s">
        <v>632</v>
      </c>
      <c r="E60" s="4">
        <v>5</v>
      </c>
      <c r="F60">
        <v>118.47</v>
      </c>
      <c r="G60" s="4">
        <v>0.19</v>
      </c>
      <c r="H60" s="7">
        <v>479.80349999999999</v>
      </c>
      <c r="I60" s="12">
        <v>45285</v>
      </c>
      <c r="J60" s="12" t="str">
        <f t="shared" si="0"/>
        <v>2023</v>
      </c>
      <c r="K60" s="18" t="s">
        <v>648</v>
      </c>
      <c r="L60" s="18" t="s">
        <v>653</v>
      </c>
    </row>
    <row r="61" spans="1:12" x14ac:dyDescent="0.25">
      <c r="A61" t="s">
        <v>70</v>
      </c>
      <c r="B61" t="s">
        <v>370</v>
      </c>
      <c r="C61" s="18" t="s">
        <v>605</v>
      </c>
      <c r="D61" s="18" t="s">
        <v>640</v>
      </c>
      <c r="E61" s="4">
        <v>5</v>
      </c>
      <c r="F61">
        <v>191.8</v>
      </c>
      <c r="G61" s="4">
        <v>0.18</v>
      </c>
      <c r="H61" s="7">
        <v>786.38000000000011</v>
      </c>
      <c r="I61" s="12">
        <v>44934</v>
      </c>
      <c r="J61" s="12" t="str">
        <f t="shared" si="0"/>
        <v>2023</v>
      </c>
      <c r="K61" s="18" t="s">
        <v>648</v>
      </c>
      <c r="L61" s="18" t="s">
        <v>655</v>
      </c>
    </row>
    <row r="62" spans="1:12" x14ac:dyDescent="0.25">
      <c r="A62" t="s">
        <v>71</v>
      </c>
      <c r="B62" t="s">
        <v>371</v>
      </c>
      <c r="C62" s="18" t="s">
        <v>604</v>
      </c>
      <c r="D62" s="18" t="s">
        <v>612</v>
      </c>
      <c r="E62" s="4">
        <v>2</v>
      </c>
      <c r="F62">
        <v>345.98</v>
      </c>
      <c r="G62" s="4">
        <v>0.02</v>
      </c>
      <c r="H62" s="7">
        <v>678.12080000000003</v>
      </c>
      <c r="I62" s="12">
        <v>45019</v>
      </c>
      <c r="J62" s="12" t="str">
        <f t="shared" si="0"/>
        <v>2023</v>
      </c>
      <c r="K62" s="18" t="s">
        <v>647</v>
      </c>
      <c r="L62" s="18" t="s">
        <v>654</v>
      </c>
    </row>
    <row r="63" spans="1:12" x14ac:dyDescent="0.25">
      <c r="A63" t="s">
        <v>72</v>
      </c>
      <c r="B63" t="s">
        <v>372</v>
      </c>
      <c r="C63" s="18" t="s">
        <v>610</v>
      </c>
      <c r="D63" s="18" t="s">
        <v>611</v>
      </c>
      <c r="E63" s="4">
        <v>2</v>
      </c>
      <c r="F63">
        <v>281.56</v>
      </c>
      <c r="G63" s="4">
        <v>0.24</v>
      </c>
      <c r="H63" s="7">
        <v>427.97120000000001</v>
      </c>
      <c r="I63" s="12">
        <v>45415</v>
      </c>
      <c r="J63" s="12" t="str">
        <f t="shared" si="0"/>
        <v>2024</v>
      </c>
      <c r="K63" s="18" t="s">
        <v>649</v>
      </c>
      <c r="L63" s="18" t="s">
        <v>654</v>
      </c>
    </row>
    <row r="64" spans="1:12" x14ac:dyDescent="0.25">
      <c r="A64" t="s">
        <v>73</v>
      </c>
      <c r="B64" t="s">
        <v>373</v>
      </c>
      <c r="C64" s="18" t="s">
        <v>606</v>
      </c>
      <c r="D64" s="18" t="s">
        <v>618</v>
      </c>
      <c r="E64" s="4">
        <v>3</v>
      </c>
      <c r="F64">
        <v>17.73</v>
      </c>
      <c r="G64" s="4">
        <v>0.02</v>
      </c>
      <c r="H64" s="7">
        <v>52.126199999999997</v>
      </c>
      <c r="I64" s="12">
        <v>45725</v>
      </c>
      <c r="J64" s="12" t="str">
        <f t="shared" si="0"/>
        <v>2025</v>
      </c>
      <c r="K64" s="18" t="s">
        <v>647</v>
      </c>
      <c r="L64" s="18" t="s">
        <v>651</v>
      </c>
    </row>
    <row r="65" spans="1:12" x14ac:dyDescent="0.25">
      <c r="A65" t="s">
        <v>74</v>
      </c>
      <c r="B65" t="s">
        <v>374</v>
      </c>
      <c r="C65" s="18" t="s">
        <v>604</v>
      </c>
      <c r="D65" s="18" t="s">
        <v>616</v>
      </c>
      <c r="E65" s="4">
        <v>3</v>
      </c>
      <c r="F65">
        <v>482.37</v>
      </c>
      <c r="G65" s="4">
        <v>0.3</v>
      </c>
      <c r="H65" s="7">
        <v>1012.977</v>
      </c>
      <c r="I65" s="12">
        <v>45664</v>
      </c>
      <c r="J65" s="12" t="str">
        <f t="shared" si="0"/>
        <v>2025</v>
      </c>
      <c r="K65" s="18" t="s">
        <v>647</v>
      </c>
      <c r="L65" s="18" t="s">
        <v>651</v>
      </c>
    </row>
    <row r="66" spans="1:12" x14ac:dyDescent="0.25">
      <c r="A66" t="s">
        <v>75</v>
      </c>
      <c r="B66" t="s">
        <v>375</v>
      </c>
      <c r="C66" s="18" t="s">
        <v>604</v>
      </c>
      <c r="D66" s="18" t="s">
        <v>633</v>
      </c>
      <c r="E66" s="4">
        <v>5</v>
      </c>
      <c r="F66">
        <v>302.72000000000003</v>
      </c>
      <c r="G66" s="4">
        <v>0.14000000000000001</v>
      </c>
      <c r="H66" s="7">
        <v>1301.6959999999999</v>
      </c>
      <c r="I66" s="12">
        <v>45506</v>
      </c>
      <c r="J66" s="12" t="str">
        <f t="shared" ref="J66:J129" si="1">TEXT(I66,"yyyy")</f>
        <v>2024</v>
      </c>
      <c r="K66" s="18" t="s">
        <v>646</v>
      </c>
      <c r="L66" s="18" t="s">
        <v>654</v>
      </c>
    </row>
    <row r="67" spans="1:12" x14ac:dyDescent="0.25">
      <c r="A67" t="s">
        <v>76</v>
      </c>
      <c r="B67" t="s">
        <v>376</v>
      </c>
      <c r="C67" s="18" t="s">
        <v>608</v>
      </c>
      <c r="D67" s="18" t="s">
        <v>622</v>
      </c>
      <c r="E67" s="4">
        <v>1</v>
      </c>
      <c r="F67">
        <v>335.9</v>
      </c>
      <c r="G67" s="4">
        <v>0.28999999999999998</v>
      </c>
      <c r="H67" s="7">
        <v>238.489</v>
      </c>
      <c r="I67" s="12">
        <v>45846</v>
      </c>
      <c r="J67" s="12" t="str">
        <f t="shared" si="1"/>
        <v>2025</v>
      </c>
      <c r="K67" s="18" t="s">
        <v>647</v>
      </c>
      <c r="L67" s="18" t="s">
        <v>653</v>
      </c>
    </row>
    <row r="68" spans="1:12" x14ac:dyDescent="0.25">
      <c r="A68" t="s">
        <v>77</v>
      </c>
      <c r="B68" t="s">
        <v>377</v>
      </c>
      <c r="C68" s="18" t="s">
        <v>607</v>
      </c>
      <c r="D68" s="18" t="s">
        <v>641</v>
      </c>
      <c r="E68" s="4">
        <v>5</v>
      </c>
      <c r="F68">
        <v>211.3</v>
      </c>
      <c r="G68" s="4">
        <v>0.26</v>
      </c>
      <c r="H68" s="7">
        <v>781.81</v>
      </c>
      <c r="I68" s="12">
        <v>45074</v>
      </c>
      <c r="J68" s="12" t="str">
        <f t="shared" si="1"/>
        <v>2023</v>
      </c>
      <c r="K68" s="18" t="s">
        <v>649</v>
      </c>
      <c r="L68" s="18" t="s">
        <v>653</v>
      </c>
    </row>
    <row r="69" spans="1:12" x14ac:dyDescent="0.25">
      <c r="A69" t="s">
        <v>78</v>
      </c>
      <c r="B69" t="s">
        <v>378</v>
      </c>
      <c r="C69" s="18" t="s">
        <v>605</v>
      </c>
      <c r="D69" s="18" t="s">
        <v>656</v>
      </c>
      <c r="E69" s="4">
        <v>3</v>
      </c>
      <c r="F69">
        <v>291.31</v>
      </c>
      <c r="G69" s="4">
        <v>0.25</v>
      </c>
      <c r="H69" s="7">
        <v>655.44749999999999</v>
      </c>
      <c r="I69" s="12">
        <v>45362</v>
      </c>
      <c r="J69" s="12" t="str">
        <f t="shared" si="1"/>
        <v>2024</v>
      </c>
      <c r="K69" s="18" t="s">
        <v>646</v>
      </c>
      <c r="L69" s="18" t="s">
        <v>652</v>
      </c>
    </row>
    <row r="70" spans="1:12" x14ac:dyDescent="0.25">
      <c r="A70" t="s">
        <v>79</v>
      </c>
      <c r="B70" t="s">
        <v>379</v>
      </c>
      <c r="C70" s="18" t="s">
        <v>610</v>
      </c>
      <c r="D70" s="18" t="s">
        <v>621</v>
      </c>
      <c r="E70" s="4">
        <v>2</v>
      </c>
      <c r="F70">
        <v>373.07</v>
      </c>
      <c r="G70" s="4">
        <v>0.03</v>
      </c>
      <c r="H70" s="7">
        <v>723.75580000000002</v>
      </c>
      <c r="I70" s="12">
        <v>45267</v>
      </c>
      <c r="J70" s="12" t="str">
        <f t="shared" si="1"/>
        <v>2023</v>
      </c>
      <c r="K70" s="18" t="s">
        <v>648</v>
      </c>
      <c r="L70" s="18" t="s">
        <v>652</v>
      </c>
    </row>
    <row r="71" spans="1:12" x14ac:dyDescent="0.25">
      <c r="A71" t="s">
        <v>80</v>
      </c>
      <c r="B71" t="s">
        <v>380</v>
      </c>
      <c r="C71" s="18" t="s">
        <v>607</v>
      </c>
      <c r="D71" s="18" t="s">
        <v>642</v>
      </c>
      <c r="E71" s="4">
        <v>1</v>
      </c>
      <c r="F71">
        <v>312.74</v>
      </c>
      <c r="G71" s="4">
        <v>0.08</v>
      </c>
      <c r="H71" s="7">
        <v>287.7208</v>
      </c>
      <c r="I71" s="12">
        <v>45086</v>
      </c>
      <c r="J71" s="12" t="str">
        <f t="shared" si="1"/>
        <v>2023</v>
      </c>
      <c r="K71" s="18" t="s">
        <v>648</v>
      </c>
      <c r="L71" s="18" t="s">
        <v>652</v>
      </c>
    </row>
    <row r="72" spans="1:12" x14ac:dyDescent="0.25">
      <c r="A72" t="s">
        <v>81</v>
      </c>
      <c r="B72" t="s">
        <v>381</v>
      </c>
      <c r="C72" s="18" t="s">
        <v>610</v>
      </c>
      <c r="D72" s="18" t="s">
        <v>630</v>
      </c>
      <c r="E72" s="4">
        <v>3</v>
      </c>
      <c r="F72">
        <v>492.38</v>
      </c>
      <c r="G72" s="4">
        <v>0</v>
      </c>
      <c r="H72" s="7">
        <v>1477.14</v>
      </c>
      <c r="I72" s="12">
        <v>45477</v>
      </c>
      <c r="J72" s="12" t="str">
        <f t="shared" si="1"/>
        <v>2024</v>
      </c>
      <c r="K72" s="18" t="s">
        <v>646</v>
      </c>
      <c r="L72" s="18" t="s">
        <v>652</v>
      </c>
    </row>
    <row r="73" spans="1:12" x14ac:dyDescent="0.25">
      <c r="A73" t="s">
        <v>82</v>
      </c>
      <c r="B73" t="s">
        <v>382</v>
      </c>
      <c r="C73" s="18" t="s">
        <v>608</v>
      </c>
      <c r="D73" s="18" t="s">
        <v>636</v>
      </c>
      <c r="E73" s="4">
        <v>5</v>
      </c>
      <c r="F73">
        <v>432.26</v>
      </c>
      <c r="G73" s="4">
        <v>0.13</v>
      </c>
      <c r="H73" s="7">
        <v>1880.3309999999999</v>
      </c>
      <c r="I73" s="12">
        <v>44966</v>
      </c>
      <c r="J73" s="12" t="str">
        <f t="shared" si="1"/>
        <v>2023</v>
      </c>
      <c r="K73" s="18" t="s">
        <v>646</v>
      </c>
      <c r="L73" s="18" t="s">
        <v>651</v>
      </c>
    </row>
    <row r="74" spans="1:12" x14ac:dyDescent="0.25">
      <c r="A74" t="s">
        <v>83</v>
      </c>
      <c r="B74" t="s">
        <v>383</v>
      </c>
      <c r="C74" s="18" t="s">
        <v>608</v>
      </c>
      <c r="D74" s="18" t="s">
        <v>632</v>
      </c>
      <c r="E74" s="4">
        <v>2</v>
      </c>
      <c r="F74">
        <v>460.69</v>
      </c>
      <c r="G74" s="4">
        <v>0.13</v>
      </c>
      <c r="H74" s="7">
        <v>801.60059999999999</v>
      </c>
      <c r="I74" s="12">
        <v>45268</v>
      </c>
      <c r="J74" s="12" t="str">
        <f t="shared" si="1"/>
        <v>2023</v>
      </c>
      <c r="K74" s="18" t="s">
        <v>646</v>
      </c>
      <c r="L74" s="18" t="s">
        <v>653</v>
      </c>
    </row>
    <row r="75" spans="1:12" x14ac:dyDescent="0.25">
      <c r="A75" t="s">
        <v>84</v>
      </c>
      <c r="B75" t="s">
        <v>384</v>
      </c>
      <c r="C75" s="18" t="s">
        <v>606</v>
      </c>
      <c r="D75" s="18" t="s">
        <v>628</v>
      </c>
      <c r="E75" s="4">
        <v>1</v>
      </c>
      <c r="F75">
        <v>181.19</v>
      </c>
      <c r="G75" s="4">
        <v>7.0000000000000007E-2</v>
      </c>
      <c r="H75" s="7">
        <v>168.5067</v>
      </c>
      <c r="I75" s="12">
        <v>45264</v>
      </c>
      <c r="J75" s="12" t="str">
        <f t="shared" si="1"/>
        <v>2023</v>
      </c>
      <c r="K75" s="18" t="s">
        <v>646</v>
      </c>
      <c r="L75" s="18" t="s">
        <v>654</v>
      </c>
    </row>
    <row r="76" spans="1:12" x14ac:dyDescent="0.25">
      <c r="A76" t="s">
        <v>85</v>
      </c>
      <c r="B76" t="s">
        <v>385</v>
      </c>
      <c r="C76" s="18" t="s">
        <v>609</v>
      </c>
      <c r="D76" s="18" t="s">
        <v>627</v>
      </c>
      <c r="E76" s="4">
        <v>5</v>
      </c>
      <c r="F76">
        <v>442.2</v>
      </c>
      <c r="G76" s="4">
        <v>0.26</v>
      </c>
      <c r="H76" s="7">
        <v>1636.14</v>
      </c>
      <c r="I76" s="12">
        <v>45476</v>
      </c>
      <c r="J76" s="12" t="str">
        <f t="shared" si="1"/>
        <v>2024</v>
      </c>
      <c r="K76" s="18" t="s">
        <v>647</v>
      </c>
      <c r="L76" s="18" t="s">
        <v>651</v>
      </c>
    </row>
    <row r="77" spans="1:12" x14ac:dyDescent="0.25">
      <c r="A77" t="s">
        <v>86</v>
      </c>
      <c r="B77" t="s">
        <v>386</v>
      </c>
      <c r="C77" s="18" t="s">
        <v>610</v>
      </c>
      <c r="D77" s="18" t="s">
        <v>630</v>
      </c>
      <c r="E77" s="4">
        <v>4</v>
      </c>
      <c r="F77">
        <v>243.88561461794012</v>
      </c>
      <c r="G77" s="4">
        <v>0.02</v>
      </c>
      <c r="H77" s="7">
        <v>956.03160930232525</v>
      </c>
      <c r="I77" s="12">
        <v>45384</v>
      </c>
      <c r="J77" s="12" t="str">
        <f t="shared" si="1"/>
        <v>2024</v>
      </c>
      <c r="K77" s="18" t="s">
        <v>648</v>
      </c>
      <c r="L77" s="18" t="s">
        <v>655</v>
      </c>
    </row>
    <row r="78" spans="1:12" x14ac:dyDescent="0.25">
      <c r="A78" t="s">
        <v>87</v>
      </c>
      <c r="B78" t="s">
        <v>387</v>
      </c>
      <c r="C78" s="18" t="s">
        <v>606</v>
      </c>
      <c r="D78" s="18" t="s">
        <v>656</v>
      </c>
      <c r="E78" s="4">
        <v>3</v>
      </c>
      <c r="F78">
        <v>479.28</v>
      </c>
      <c r="G78" s="4">
        <v>0.03</v>
      </c>
      <c r="H78" s="7">
        <v>1394.7048</v>
      </c>
      <c r="I78" s="12">
        <v>45663</v>
      </c>
      <c r="J78" s="12" t="str">
        <f t="shared" si="1"/>
        <v>2025</v>
      </c>
      <c r="K78" s="18" t="s">
        <v>646</v>
      </c>
      <c r="L78" s="18" t="s">
        <v>654</v>
      </c>
    </row>
    <row r="79" spans="1:12" x14ac:dyDescent="0.25">
      <c r="A79" t="s">
        <v>88</v>
      </c>
      <c r="B79" t="s">
        <v>388</v>
      </c>
      <c r="C79" s="18" t="s">
        <v>607</v>
      </c>
      <c r="D79" s="18" t="s">
        <v>623</v>
      </c>
      <c r="E79" s="4">
        <v>3</v>
      </c>
      <c r="F79">
        <v>175.8</v>
      </c>
      <c r="G79" s="4">
        <v>0.24</v>
      </c>
      <c r="H79" s="7">
        <v>400.82400000000013</v>
      </c>
      <c r="I79" s="12">
        <v>44960</v>
      </c>
      <c r="J79" s="12" t="str">
        <f t="shared" si="1"/>
        <v>2023</v>
      </c>
      <c r="K79" s="18" t="s">
        <v>647</v>
      </c>
      <c r="L79" s="18" t="s">
        <v>655</v>
      </c>
    </row>
    <row r="80" spans="1:12" x14ac:dyDescent="0.25">
      <c r="A80" t="s">
        <v>89</v>
      </c>
      <c r="B80" t="s">
        <v>389</v>
      </c>
      <c r="C80" s="18" t="s">
        <v>607</v>
      </c>
      <c r="D80" s="18" t="s">
        <v>623</v>
      </c>
      <c r="E80" s="4">
        <v>3</v>
      </c>
      <c r="F80">
        <v>357.33</v>
      </c>
      <c r="G80" s="4">
        <v>0.09</v>
      </c>
      <c r="H80" s="7">
        <v>975.51089999999999</v>
      </c>
      <c r="I80" s="12">
        <v>45449</v>
      </c>
      <c r="J80" s="12" t="str">
        <f t="shared" si="1"/>
        <v>2024</v>
      </c>
      <c r="K80" s="18" t="s">
        <v>646</v>
      </c>
      <c r="L80" s="18" t="s">
        <v>653</v>
      </c>
    </row>
    <row r="81" spans="1:12" x14ac:dyDescent="0.25">
      <c r="A81" t="s">
        <v>90</v>
      </c>
      <c r="B81" t="s">
        <v>390</v>
      </c>
      <c r="C81" s="18" t="s">
        <v>610</v>
      </c>
      <c r="D81" s="18" t="s">
        <v>611</v>
      </c>
      <c r="E81" s="4">
        <v>4</v>
      </c>
      <c r="F81">
        <v>77.41</v>
      </c>
      <c r="G81" s="4">
        <v>0.09</v>
      </c>
      <c r="H81" s="7">
        <v>281.7724</v>
      </c>
      <c r="I81" s="12">
        <v>45421</v>
      </c>
      <c r="J81" s="12" t="str">
        <f t="shared" si="1"/>
        <v>2024</v>
      </c>
      <c r="K81" s="18" t="s">
        <v>649</v>
      </c>
      <c r="L81" s="18" t="s">
        <v>655</v>
      </c>
    </row>
    <row r="82" spans="1:12" x14ac:dyDescent="0.25">
      <c r="A82" t="s">
        <v>91</v>
      </c>
      <c r="B82" t="s">
        <v>391</v>
      </c>
      <c r="C82" s="18" t="s">
        <v>609</v>
      </c>
      <c r="D82" s="18" t="s">
        <v>629</v>
      </c>
      <c r="E82" s="4">
        <v>2</v>
      </c>
      <c r="F82">
        <v>188.51</v>
      </c>
      <c r="G82" s="4">
        <v>0.28999999999999998</v>
      </c>
      <c r="H82" s="7">
        <v>267.68419999999998</v>
      </c>
      <c r="I82" s="12">
        <v>45451</v>
      </c>
      <c r="J82" s="12" t="str">
        <f t="shared" si="1"/>
        <v>2024</v>
      </c>
      <c r="K82" s="18" t="s">
        <v>646</v>
      </c>
      <c r="L82" s="18" t="s">
        <v>654</v>
      </c>
    </row>
    <row r="83" spans="1:12" x14ac:dyDescent="0.25">
      <c r="A83" t="s">
        <v>92</v>
      </c>
      <c r="B83" t="s">
        <v>392</v>
      </c>
      <c r="C83" s="18" t="s">
        <v>604</v>
      </c>
      <c r="D83" s="18" t="s">
        <v>614</v>
      </c>
      <c r="E83" s="4">
        <v>5</v>
      </c>
      <c r="F83">
        <v>148.07</v>
      </c>
      <c r="G83" s="4">
        <v>0.15</v>
      </c>
      <c r="H83" s="7">
        <v>629.2974999999999</v>
      </c>
      <c r="I83" s="12">
        <v>45629</v>
      </c>
      <c r="J83" s="12" t="str">
        <f t="shared" si="1"/>
        <v>2024</v>
      </c>
      <c r="K83" s="18" t="s">
        <v>646</v>
      </c>
      <c r="L83" s="18" t="s">
        <v>654</v>
      </c>
    </row>
    <row r="84" spans="1:12" x14ac:dyDescent="0.25">
      <c r="A84" t="s">
        <v>93</v>
      </c>
      <c r="B84" t="s">
        <v>393</v>
      </c>
      <c r="C84" s="18" t="s">
        <v>607</v>
      </c>
      <c r="D84" s="18" t="s">
        <v>641</v>
      </c>
      <c r="E84" s="4">
        <v>5</v>
      </c>
      <c r="F84">
        <v>383.93</v>
      </c>
      <c r="G84" s="4">
        <v>0.13</v>
      </c>
      <c r="H84" s="7">
        <v>1670.0954999999999</v>
      </c>
      <c r="I84" s="12">
        <v>45268</v>
      </c>
      <c r="J84" s="12" t="str">
        <f t="shared" si="1"/>
        <v>2023</v>
      </c>
      <c r="K84" s="18" t="s">
        <v>650</v>
      </c>
      <c r="L84" s="18" t="s">
        <v>651</v>
      </c>
    </row>
    <row r="85" spans="1:12" x14ac:dyDescent="0.25">
      <c r="A85" t="s">
        <v>94</v>
      </c>
      <c r="B85" t="s">
        <v>394</v>
      </c>
      <c r="C85" s="18" t="s">
        <v>607</v>
      </c>
      <c r="D85" s="18" t="s">
        <v>637</v>
      </c>
      <c r="E85" s="4">
        <v>1</v>
      </c>
      <c r="F85">
        <v>166.16</v>
      </c>
      <c r="G85" s="4">
        <v>0.25</v>
      </c>
      <c r="H85" s="7">
        <v>124.62</v>
      </c>
      <c r="I85" s="12">
        <v>45385</v>
      </c>
      <c r="J85" s="12" t="str">
        <f t="shared" si="1"/>
        <v>2024</v>
      </c>
      <c r="K85" s="18" t="s">
        <v>647</v>
      </c>
      <c r="L85" s="18" t="s">
        <v>652</v>
      </c>
    </row>
    <row r="86" spans="1:12" x14ac:dyDescent="0.25">
      <c r="A86" t="s">
        <v>95</v>
      </c>
      <c r="B86" t="s">
        <v>395</v>
      </c>
      <c r="C86" s="18" t="s">
        <v>608</v>
      </c>
      <c r="D86" s="18" t="s">
        <v>622</v>
      </c>
      <c r="E86" s="4">
        <v>1</v>
      </c>
      <c r="F86">
        <v>419.13</v>
      </c>
      <c r="G86" s="4">
        <v>0.03</v>
      </c>
      <c r="H86" s="7">
        <v>406.55610000000001</v>
      </c>
      <c r="I86" s="12">
        <v>45022</v>
      </c>
      <c r="J86" s="12" t="str">
        <f t="shared" si="1"/>
        <v>2023</v>
      </c>
      <c r="K86" s="18" t="s">
        <v>647</v>
      </c>
      <c r="L86" s="18" t="s">
        <v>654</v>
      </c>
    </row>
    <row r="87" spans="1:12" x14ac:dyDescent="0.25">
      <c r="A87" t="s">
        <v>96</v>
      </c>
      <c r="B87" t="s">
        <v>396</v>
      </c>
      <c r="C87" s="18" t="s">
        <v>606</v>
      </c>
      <c r="D87" s="18" t="s">
        <v>636</v>
      </c>
      <c r="E87" s="4">
        <v>5</v>
      </c>
      <c r="F87">
        <v>152.72</v>
      </c>
      <c r="G87" s="4">
        <v>0.18</v>
      </c>
      <c r="H87" s="7">
        <v>626.15200000000004</v>
      </c>
      <c r="I87" s="12">
        <v>44965</v>
      </c>
      <c r="J87" s="12" t="str">
        <f t="shared" si="1"/>
        <v>2023</v>
      </c>
      <c r="K87" s="18" t="s">
        <v>647</v>
      </c>
      <c r="L87" s="18" t="s">
        <v>655</v>
      </c>
    </row>
    <row r="88" spans="1:12" x14ac:dyDescent="0.25">
      <c r="A88" t="s">
        <v>97</v>
      </c>
      <c r="B88" t="s">
        <v>397</v>
      </c>
      <c r="C88" s="18" t="s">
        <v>606</v>
      </c>
      <c r="D88" s="18" t="s">
        <v>613</v>
      </c>
      <c r="E88" s="4">
        <v>4</v>
      </c>
      <c r="F88">
        <v>243.88561461794012</v>
      </c>
      <c r="G88" s="4">
        <v>0.08</v>
      </c>
      <c r="H88" s="7">
        <v>897.49906179401967</v>
      </c>
      <c r="I88" s="12">
        <v>44935</v>
      </c>
      <c r="J88" s="12" t="str">
        <f t="shared" si="1"/>
        <v>2023</v>
      </c>
      <c r="K88" s="18" t="s">
        <v>647</v>
      </c>
      <c r="L88" s="18" t="s">
        <v>652</v>
      </c>
    </row>
    <row r="89" spans="1:12" x14ac:dyDescent="0.25">
      <c r="A89" t="s">
        <v>98</v>
      </c>
      <c r="B89" t="s">
        <v>398</v>
      </c>
      <c r="C89" s="18" t="s">
        <v>609</v>
      </c>
      <c r="D89" s="18" t="s">
        <v>656</v>
      </c>
      <c r="E89" s="4">
        <v>3</v>
      </c>
      <c r="F89">
        <v>95.79</v>
      </c>
      <c r="G89" s="4">
        <v>0.28999999999999998</v>
      </c>
      <c r="H89" s="7">
        <v>204.03270000000001</v>
      </c>
      <c r="I89" s="12">
        <v>45020</v>
      </c>
      <c r="J89" s="12" t="str">
        <f t="shared" si="1"/>
        <v>2023</v>
      </c>
      <c r="K89" s="18" t="s">
        <v>647</v>
      </c>
      <c r="L89" s="18" t="s">
        <v>651</v>
      </c>
    </row>
    <row r="90" spans="1:12" x14ac:dyDescent="0.25">
      <c r="A90" t="s">
        <v>99</v>
      </c>
      <c r="B90" t="s">
        <v>399</v>
      </c>
      <c r="C90" s="18" t="s">
        <v>610</v>
      </c>
      <c r="D90" s="18" t="s">
        <v>643</v>
      </c>
      <c r="E90" s="4">
        <v>5</v>
      </c>
      <c r="F90">
        <v>379.11</v>
      </c>
      <c r="G90" s="4">
        <v>0.09</v>
      </c>
      <c r="H90" s="7">
        <v>1724.9504999999999</v>
      </c>
      <c r="I90" s="12">
        <v>44951</v>
      </c>
      <c r="J90" s="12" t="str">
        <f t="shared" si="1"/>
        <v>2023</v>
      </c>
      <c r="K90" s="18" t="s">
        <v>649</v>
      </c>
      <c r="L90" s="18" t="s">
        <v>653</v>
      </c>
    </row>
    <row r="91" spans="1:12" x14ac:dyDescent="0.25">
      <c r="A91" t="s">
        <v>100</v>
      </c>
      <c r="B91" t="s">
        <v>400</v>
      </c>
      <c r="C91" s="18" t="s">
        <v>608</v>
      </c>
      <c r="D91" s="18" t="s">
        <v>635</v>
      </c>
      <c r="E91" s="4">
        <v>4</v>
      </c>
      <c r="F91">
        <v>400.67</v>
      </c>
      <c r="G91" s="4">
        <v>0.24</v>
      </c>
      <c r="H91" s="7">
        <v>1218.0368000000001</v>
      </c>
      <c r="I91" s="12">
        <v>45201</v>
      </c>
      <c r="J91" s="12" t="str">
        <f t="shared" si="1"/>
        <v>2023</v>
      </c>
      <c r="K91" s="18" t="s">
        <v>646</v>
      </c>
      <c r="L91" s="18" t="s">
        <v>654</v>
      </c>
    </row>
    <row r="92" spans="1:12" x14ac:dyDescent="0.25">
      <c r="A92" t="s">
        <v>101</v>
      </c>
      <c r="B92" t="s">
        <v>401</v>
      </c>
      <c r="C92" s="18" t="s">
        <v>610</v>
      </c>
      <c r="D92" s="18" t="s">
        <v>643</v>
      </c>
      <c r="E92" s="4">
        <v>4</v>
      </c>
      <c r="F92">
        <v>182.26</v>
      </c>
      <c r="G92" s="4">
        <v>0.22</v>
      </c>
      <c r="H92" s="7">
        <v>568.65120000000002</v>
      </c>
      <c r="I92" s="12">
        <v>45241</v>
      </c>
      <c r="J92" s="12" t="str">
        <f t="shared" si="1"/>
        <v>2023</v>
      </c>
      <c r="K92" s="18" t="s">
        <v>649</v>
      </c>
      <c r="L92" s="18" t="s">
        <v>653</v>
      </c>
    </row>
    <row r="93" spans="1:12" x14ac:dyDescent="0.25">
      <c r="A93" t="s">
        <v>102</v>
      </c>
      <c r="B93" t="s">
        <v>402</v>
      </c>
      <c r="C93" s="18" t="s">
        <v>609</v>
      </c>
      <c r="D93" s="18" t="s">
        <v>625</v>
      </c>
      <c r="E93" s="4">
        <v>2</v>
      </c>
      <c r="F93">
        <v>243.88561461794012</v>
      </c>
      <c r="G93" s="4">
        <v>0.11</v>
      </c>
      <c r="H93" s="7">
        <v>434.11639401993341</v>
      </c>
      <c r="I93" s="12">
        <v>45453</v>
      </c>
      <c r="J93" s="12" t="str">
        <f t="shared" si="1"/>
        <v>2024</v>
      </c>
      <c r="K93" s="18" t="s">
        <v>646</v>
      </c>
      <c r="L93" s="18" t="s">
        <v>654</v>
      </c>
    </row>
    <row r="94" spans="1:12" x14ac:dyDescent="0.25">
      <c r="A94" t="s">
        <v>103</v>
      </c>
      <c r="B94" t="s">
        <v>403</v>
      </c>
      <c r="C94" s="18" t="s">
        <v>605</v>
      </c>
      <c r="D94" s="18" t="s">
        <v>617</v>
      </c>
      <c r="E94" s="4">
        <v>3</v>
      </c>
      <c r="F94">
        <v>146.56</v>
      </c>
      <c r="G94" s="4">
        <v>0.01</v>
      </c>
      <c r="H94" s="7">
        <v>435.28320000000002</v>
      </c>
      <c r="I94" s="12">
        <v>45605</v>
      </c>
      <c r="J94" s="12" t="str">
        <f t="shared" si="1"/>
        <v>2024</v>
      </c>
      <c r="K94" s="18" t="s">
        <v>646</v>
      </c>
      <c r="L94" s="18" t="s">
        <v>653</v>
      </c>
    </row>
    <row r="95" spans="1:12" x14ac:dyDescent="0.25">
      <c r="A95" t="s">
        <v>104</v>
      </c>
      <c r="B95" t="s">
        <v>404</v>
      </c>
      <c r="C95" s="18" t="s">
        <v>607</v>
      </c>
      <c r="D95" s="18" t="s">
        <v>634</v>
      </c>
      <c r="E95" s="4">
        <v>4</v>
      </c>
      <c r="F95">
        <v>427.88</v>
      </c>
      <c r="G95" s="4">
        <v>0.05</v>
      </c>
      <c r="H95" s="7">
        <v>1625.944</v>
      </c>
      <c r="I95" s="12">
        <v>44971</v>
      </c>
      <c r="J95" s="12" t="str">
        <f t="shared" si="1"/>
        <v>2023</v>
      </c>
      <c r="K95" s="18" t="s">
        <v>649</v>
      </c>
      <c r="L95" s="18" t="s">
        <v>653</v>
      </c>
    </row>
    <row r="96" spans="1:12" x14ac:dyDescent="0.25">
      <c r="A96" t="s">
        <v>105</v>
      </c>
      <c r="B96" t="s">
        <v>405</v>
      </c>
      <c r="C96" s="18" t="s">
        <v>609</v>
      </c>
      <c r="D96" s="18" t="s">
        <v>625</v>
      </c>
      <c r="E96" s="4">
        <v>5</v>
      </c>
      <c r="F96">
        <v>108.48</v>
      </c>
      <c r="G96" s="4">
        <v>7.0000000000000007E-2</v>
      </c>
      <c r="H96" s="7">
        <v>504.43200000000002</v>
      </c>
      <c r="I96" s="12">
        <v>45111</v>
      </c>
      <c r="J96" s="12" t="str">
        <f t="shared" si="1"/>
        <v>2023</v>
      </c>
      <c r="K96" s="18" t="s">
        <v>648</v>
      </c>
      <c r="L96" s="18" t="s">
        <v>655</v>
      </c>
    </row>
    <row r="97" spans="1:12" x14ac:dyDescent="0.25">
      <c r="A97" t="s">
        <v>106</v>
      </c>
      <c r="B97" t="s">
        <v>406</v>
      </c>
      <c r="C97" s="18" t="s">
        <v>609</v>
      </c>
      <c r="D97" s="18" t="s">
        <v>627</v>
      </c>
      <c r="E97" s="4">
        <v>4</v>
      </c>
      <c r="F97">
        <v>165.34</v>
      </c>
      <c r="G97" s="4">
        <v>0.13</v>
      </c>
      <c r="H97" s="7">
        <v>575.38319999999999</v>
      </c>
      <c r="I97" s="12">
        <v>45694</v>
      </c>
      <c r="J97" s="12" t="str">
        <f t="shared" si="1"/>
        <v>2025</v>
      </c>
      <c r="K97" s="18" t="s">
        <v>646</v>
      </c>
      <c r="L97" s="18" t="s">
        <v>655</v>
      </c>
    </row>
    <row r="98" spans="1:12" x14ac:dyDescent="0.25">
      <c r="A98" t="s">
        <v>107</v>
      </c>
      <c r="B98" t="s">
        <v>407</v>
      </c>
      <c r="C98" s="18" t="s">
        <v>606</v>
      </c>
      <c r="D98" s="18" t="s">
        <v>618</v>
      </c>
      <c r="E98" s="4">
        <v>5</v>
      </c>
      <c r="F98">
        <v>89.36</v>
      </c>
      <c r="G98" s="4">
        <v>0.1</v>
      </c>
      <c r="H98" s="7">
        <v>402.12</v>
      </c>
      <c r="I98" s="12">
        <v>45693</v>
      </c>
      <c r="J98" s="12" t="str">
        <f t="shared" si="1"/>
        <v>2025</v>
      </c>
      <c r="K98" s="18" t="s">
        <v>649</v>
      </c>
      <c r="L98" s="18" t="s">
        <v>654</v>
      </c>
    </row>
    <row r="99" spans="1:12" x14ac:dyDescent="0.25">
      <c r="A99" t="s">
        <v>108</v>
      </c>
      <c r="B99" t="s">
        <v>408</v>
      </c>
      <c r="C99" s="18" t="s">
        <v>607</v>
      </c>
      <c r="D99" s="18" t="s">
        <v>642</v>
      </c>
      <c r="E99" s="4">
        <v>2</v>
      </c>
      <c r="F99">
        <v>315.99</v>
      </c>
      <c r="G99" s="4">
        <v>0.25</v>
      </c>
      <c r="H99" s="7">
        <v>473.98500000000001</v>
      </c>
      <c r="I99" s="12">
        <v>45352</v>
      </c>
      <c r="J99" s="12" t="str">
        <f t="shared" si="1"/>
        <v>2024</v>
      </c>
      <c r="K99" s="18" t="s">
        <v>647</v>
      </c>
      <c r="L99" s="18" t="s">
        <v>655</v>
      </c>
    </row>
    <row r="100" spans="1:12" x14ac:dyDescent="0.25">
      <c r="A100" t="s">
        <v>109</v>
      </c>
      <c r="B100" t="s">
        <v>409</v>
      </c>
      <c r="C100" s="18" t="s">
        <v>605</v>
      </c>
      <c r="D100" s="18" t="s">
        <v>644</v>
      </c>
      <c r="E100" s="4">
        <v>5</v>
      </c>
      <c r="F100">
        <v>158.03</v>
      </c>
      <c r="G100" s="4">
        <v>0.24</v>
      </c>
      <c r="H100" s="7">
        <v>600.51400000000001</v>
      </c>
      <c r="I100" s="12">
        <v>44963</v>
      </c>
      <c r="J100" s="12" t="str">
        <f t="shared" si="1"/>
        <v>2023</v>
      </c>
      <c r="K100" s="18" t="s">
        <v>647</v>
      </c>
      <c r="L100" s="18" t="s">
        <v>653</v>
      </c>
    </row>
    <row r="101" spans="1:12" x14ac:dyDescent="0.25">
      <c r="A101" t="s">
        <v>110</v>
      </c>
      <c r="B101" t="s">
        <v>410</v>
      </c>
      <c r="C101" s="18" t="s">
        <v>607</v>
      </c>
      <c r="D101" s="18" t="s">
        <v>623</v>
      </c>
      <c r="E101" s="4">
        <v>3</v>
      </c>
      <c r="F101">
        <v>74.08</v>
      </c>
      <c r="G101" s="4">
        <v>0.15</v>
      </c>
      <c r="H101" s="7">
        <v>188.904</v>
      </c>
      <c r="I101" s="12">
        <v>45021</v>
      </c>
      <c r="J101" s="12" t="str">
        <f t="shared" si="1"/>
        <v>2023</v>
      </c>
      <c r="K101" s="18" t="s">
        <v>647</v>
      </c>
      <c r="L101" s="18" t="s">
        <v>652</v>
      </c>
    </row>
    <row r="102" spans="1:12" x14ac:dyDescent="0.25">
      <c r="A102" t="s">
        <v>111</v>
      </c>
      <c r="B102" t="s">
        <v>411</v>
      </c>
      <c r="C102" s="18" t="s">
        <v>608</v>
      </c>
      <c r="D102" s="18" t="s">
        <v>636</v>
      </c>
      <c r="E102" s="4">
        <v>2</v>
      </c>
      <c r="F102">
        <v>363.35</v>
      </c>
      <c r="G102" s="4">
        <v>0.23</v>
      </c>
      <c r="H102" s="7">
        <v>559.55900000000008</v>
      </c>
      <c r="I102" s="12">
        <v>45544</v>
      </c>
      <c r="J102" s="12" t="str">
        <f t="shared" si="1"/>
        <v>2024</v>
      </c>
      <c r="K102" s="18" t="s">
        <v>648</v>
      </c>
      <c r="L102" s="18" t="s">
        <v>652</v>
      </c>
    </row>
    <row r="103" spans="1:12" x14ac:dyDescent="0.25">
      <c r="A103" t="s">
        <v>112</v>
      </c>
      <c r="B103" t="s">
        <v>412</v>
      </c>
      <c r="C103" s="18" t="s">
        <v>604</v>
      </c>
      <c r="D103" s="18" t="s">
        <v>611</v>
      </c>
      <c r="E103" s="4">
        <v>1</v>
      </c>
      <c r="F103">
        <v>302.77999999999997</v>
      </c>
      <c r="G103" s="4">
        <v>0.09</v>
      </c>
      <c r="H103" s="7">
        <v>281.79715713418909</v>
      </c>
      <c r="I103" s="12">
        <v>44995</v>
      </c>
      <c r="J103" s="12" t="str">
        <f t="shared" si="1"/>
        <v>2023</v>
      </c>
      <c r="K103" s="18" t="s">
        <v>649</v>
      </c>
      <c r="L103" s="18" t="s">
        <v>651</v>
      </c>
    </row>
    <row r="104" spans="1:12" x14ac:dyDescent="0.25">
      <c r="A104" t="s">
        <v>113</v>
      </c>
      <c r="B104" t="s">
        <v>413</v>
      </c>
      <c r="C104" s="18" t="s">
        <v>610</v>
      </c>
      <c r="D104" s="18" t="s">
        <v>621</v>
      </c>
      <c r="E104" s="4">
        <v>4</v>
      </c>
      <c r="F104">
        <v>315.39</v>
      </c>
      <c r="G104" s="4">
        <v>0.04</v>
      </c>
      <c r="H104" s="7">
        <v>1230.3843184799159</v>
      </c>
      <c r="I104" s="12">
        <v>45100</v>
      </c>
      <c r="J104" s="12" t="str">
        <f t="shared" si="1"/>
        <v>2023</v>
      </c>
      <c r="K104" s="18" t="s">
        <v>650</v>
      </c>
      <c r="L104" s="18" t="s">
        <v>654</v>
      </c>
    </row>
    <row r="105" spans="1:12" x14ac:dyDescent="0.25">
      <c r="A105" t="s">
        <v>114</v>
      </c>
      <c r="B105" t="s">
        <v>414</v>
      </c>
      <c r="C105" s="18" t="s">
        <v>604</v>
      </c>
      <c r="D105" s="18" t="s">
        <v>645</v>
      </c>
      <c r="E105" s="4">
        <v>5</v>
      </c>
      <c r="F105">
        <v>447.63</v>
      </c>
      <c r="G105" s="4">
        <v>0.1</v>
      </c>
      <c r="H105" s="7">
        <v>2014.335</v>
      </c>
      <c r="I105" s="12">
        <v>45660</v>
      </c>
      <c r="J105" s="12" t="str">
        <f t="shared" si="1"/>
        <v>2025</v>
      </c>
      <c r="K105" s="18" t="s">
        <v>646</v>
      </c>
      <c r="L105" s="18" t="s">
        <v>652</v>
      </c>
    </row>
    <row r="106" spans="1:12" x14ac:dyDescent="0.25">
      <c r="A106" t="s">
        <v>115</v>
      </c>
      <c r="B106" t="s">
        <v>415</v>
      </c>
      <c r="C106" s="18" t="s">
        <v>609</v>
      </c>
      <c r="D106" s="18" t="s">
        <v>629</v>
      </c>
      <c r="E106" s="4">
        <v>1</v>
      </c>
      <c r="F106">
        <v>63.71</v>
      </c>
      <c r="G106" s="4">
        <v>0.18</v>
      </c>
      <c r="H106" s="7">
        <v>52.242199999999997</v>
      </c>
      <c r="I106" s="12">
        <v>45485</v>
      </c>
      <c r="J106" s="12" t="str">
        <f t="shared" si="1"/>
        <v>2024</v>
      </c>
      <c r="K106" s="18" t="s">
        <v>646</v>
      </c>
      <c r="L106" s="18" t="s">
        <v>651</v>
      </c>
    </row>
    <row r="107" spans="1:12" x14ac:dyDescent="0.25">
      <c r="A107" t="s">
        <v>116</v>
      </c>
      <c r="B107" t="s">
        <v>416</v>
      </c>
      <c r="C107" s="18" t="s">
        <v>607</v>
      </c>
      <c r="D107" s="18" t="s">
        <v>619</v>
      </c>
      <c r="E107" s="4">
        <v>5</v>
      </c>
      <c r="F107">
        <v>343.56</v>
      </c>
      <c r="G107" s="4">
        <v>0.17</v>
      </c>
      <c r="H107" s="7">
        <v>1425.7739999999999</v>
      </c>
      <c r="I107" s="12">
        <v>45142</v>
      </c>
      <c r="J107" s="12" t="str">
        <f t="shared" si="1"/>
        <v>2023</v>
      </c>
      <c r="K107" s="18" t="s">
        <v>648</v>
      </c>
      <c r="L107" s="18" t="s">
        <v>652</v>
      </c>
    </row>
    <row r="108" spans="1:12" x14ac:dyDescent="0.25">
      <c r="A108" t="s">
        <v>117</v>
      </c>
      <c r="B108" t="s">
        <v>417</v>
      </c>
      <c r="C108" s="18" t="s">
        <v>606</v>
      </c>
      <c r="D108" s="18" t="s">
        <v>613</v>
      </c>
      <c r="E108" s="4">
        <v>1</v>
      </c>
      <c r="F108">
        <v>284.83</v>
      </c>
      <c r="G108" s="4">
        <v>0.16</v>
      </c>
      <c r="H108" s="7">
        <v>239.25720000000001</v>
      </c>
      <c r="I108" s="12">
        <v>45811</v>
      </c>
      <c r="J108" s="12" t="str">
        <f t="shared" si="1"/>
        <v>2025</v>
      </c>
      <c r="K108" s="18" t="s">
        <v>646</v>
      </c>
      <c r="L108" s="18" t="s">
        <v>652</v>
      </c>
    </row>
    <row r="109" spans="1:12" x14ac:dyDescent="0.25">
      <c r="A109" t="s">
        <v>118</v>
      </c>
      <c r="B109" t="s">
        <v>418</v>
      </c>
      <c r="C109" s="18" t="s">
        <v>604</v>
      </c>
      <c r="D109" s="18" t="s">
        <v>611</v>
      </c>
      <c r="E109" s="4">
        <v>3</v>
      </c>
      <c r="F109">
        <v>491.31</v>
      </c>
      <c r="G109" s="4">
        <v>0.21</v>
      </c>
      <c r="H109" s="7">
        <v>1164.4047</v>
      </c>
      <c r="I109" s="12">
        <v>45177</v>
      </c>
      <c r="J109" s="12" t="str">
        <f t="shared" si="1"/>
        <v>2023</v>
      </c>
      <c r="K109" s="18" t="s">
        <v>648</v>
      </c>
      <c r="L109" s="18" t="s">
        <v>652</v>
      </c>
    </row>
    <row r="110" spans="1:12" x14ac:dyDescent="0.25">
      <c r="A110" t="s">
        <v>119</v>
      </c>
      <c r="B110" t="s">
        <v>419</v>
      </c>
      <c r="C110" s="18" t="s">
        <v>607</v>
      </c>
      <c r="D110" s="18" t="s">
        <v>642</v>
      </c>
      <c r="E110" s="4">
        <v>4</v>
      </c>
      <c r="F110">
        <v>404.26</v>
      </c>
      <c r="G110" s="4">
        <v>0.01</v>
      </c>
      <c r="H110" s="7">
        <v>1600.8696</v>
      </c>
      <c r="I110" s="12">
        <v>44967</v>
      </c>
      <c r="J110" s="12" t="str">
        <f t="shared" si="1"/>
        <v>2023</v>
      </c>
      <c r="K110" s="18" t="s">
        <v>648</v>
      </c>
      <c r="L110" s="18" t="s">
        <v>652</v>
      </c>
    </row>
    <row r="111" spans="1:12" x14ac:dyDescent="0.25">
      <c r="A111" t="s">
        <v>120</v>
      </c>
      <c r="B111" t="s">
        <v>420</v>
      </c>
      <c r="C111" s="18" t="s">
        <v>607</v>
      </c>
      <c r="D111" s="18" t="s">
        <v>634</v>
      </c>
      <c r="E111" s="4">
        <v>5</v>
      </c>
      <c r="F111">
        <v>338.22</v>
      </c>
      <c r="G111" s="4">
        <v>0.19</v>
      </c>
      <c r="H111" s="7">
        <v>1391.0427669363651</v>
      </c>
      <c r="I111" s="12">
        <v>45816</v>
      </c>
      <c r="J111" s="12" t="str">
        <f t="shared" si="1"/>
        <v>2025</v>
      </c>
      <c r="K111" s="18" t="s">
        <v>650</v>
      </c>
      <c r="L111" s="18" t="s">
        <v>653</v>
      </c>
    </row>
    <row r="112" spans="1:12" x14ac:dyDescent="0.25">
      <c r="A112" t="s">
        <v>121</v>
      </c>
      <c r="B112" t="s">
        <v>421</v>
      </c>
      <c r="C112" s="18" t="s">
        <v>608</v>
      </c>
      <c r="D112" s="18" t="s">
        <v>622</v>
      </c>
      <c r="E112" s="4">
        <v>3</v>
      </c>
      <c r="F112">
        <v>38.99</v>
      </c>
      <c r="G112" s="4">
        <v>0.2</v>
      </c>
      <c r="H112" s="7">
        <v>93.576000000000008</v>
      </c>
      <c r="I112" s="12">
        <v>45505</v>
      </c>
      <c r="J112" s="12" t="str">
        <f t="shared" si="1"/>
        <v>2024</v>
      </c>
      <c r="K112" s="18" t="s">
        <v>646</v>
      </c>
      <c r="L112" s="18" t="s">
        <v>654</v>
      </c>
    </row>
    <row r="113" spans="1:12" x14ac:dyDescent="0.25">
      <c r="A113" t="s">
        <v>122</v>
      </c>
      <c r="B113" t="s">
        <v>422</v>
      </c>
      <c r="C113" s="18" t="s">
        <v>604</v>
      </c>
      <c r="D113" s="18" t="s">
        <v>614</v>
      </c>
      <c r="E113" s="4">
        <v>1</v>
      </c>
      <c r="F113">
        <v>62.58</v>
      </c>
      <c r="G113" s="4">
        <v>0.09</v>
      </c>
      <c r="H113" s="7">
        <v>56.947800000000001</v>
      </c>
      <c r="I113" s="12">
        <v>45087</v>
      </c>
      <c r="J113" s="12" t="str">
        <f t="shared" si="1"/>
        <v>2023</v>
      </c>
      <c r="K113" s="18" t="s">
        <v>650</v>
      </c>
      <c r="L113" s="18" t="s">
        <v>655</v>
      </c>
    </row>
    <row r="114" spans="1:12" x14ac:dyDescent="0.25">
      <c r="A114" t="s">
        <v>123</v>
      </c>
      <c r="B114" t="s">
        <v>423</v>
      </c>
      <c r="C114" s="18" t="s">
        <v>609</v>
      </c>
      <c r="D114" s="18" t="s">
        <v>627</v>
      </c>
      <c r="E114" s="4">
        <v>2</v>
      </c>
      <c r="F114">
        <v>397.48</v>
      </c>
      <c r="G114" s="4">
        <v>0.05</v>
      </c>
      <c r="H114" s="7">
        <v>755.21199999999999</v>
      </c>
      <c r="I114" s="12">
        <v>45723</v>
      </c>
      <c r="J114" s="12" t="str">
        <f t="shared" si="1"/>
        <v>2025</v>
      </c>
      <c r="K114" s="18" t="s">
        <v>646</v>
      </c>
      <c r="L114" s="18" t="s">
        <v>652</v>
      </c>
    </row>
    <row r="115" spans="1:12" x14ac:dyDescent="0.25">
      <c r="A115" t="s">
        <v>124</v>
      </c>
      <c r="B115" t="s">
        <v>424</v>
      </c>
      <c r="C115" s="18" t="s">
        <v>608</v>
      </c>
      <c r="D115" s="18" t="s">
        <v>635</v>
      </c>
      <c r="E115" s="4">
        <v>1</v>
      </c>
      <c r="F115">
        <v>228.9</v>
      </c>
      <c r="G115" s="4">
        <v>0.28999999999999998</v>
      </c>
      <c r="H115" s="7">
        <v>162.51900000000001</v>
      </c>
      <c r="I115" s="12">
        <v>45545</v>
      </c>
      <c r="J115" s="12" t="str">
        <f t="shared" si="1"/>
        <v>2024</v>
      </c>
      <c r="K115" s="18" t="s">
        <v>649</v>
      </c>
      <c r="L115" s="18" t="s">
        <v>652</v>
      </c>
    </row>
    <row r="116" spans="1:12" x14ac:dyDescent="0.25">
      <c r="A116" t="s">
        <v>125</v>
      </c>
      <c r="B116" t="s">
        <v>425</v>
      </c>
      <c r="C116" s="18" t="s">
        <v>604</v>
      </c>
      <c r="D116" s="18" t="s">
        <v>612</v>
      </c>
      <c r="E116" s="4">
        <v>3</v>
      </c>
      <c r="F116">
        <v>470.91</v>
      </c>
      <c r="G116" s="4">
        <v>0.18</v>
      </c>
      <c r="H116" s="7">
        <v>1158.4386</v>
      </c>
      <c r="I116" s="12">
        <v>45202</v>
      </c>
      <c r="J116" s="12" t="str">
        <f t="shared" si="1"/>
        <v>2023</v>
      </c>
      <c r="K116" s="18" t="s">
        <v>650</v>
      </c>
      <c r="L116" s="18" t="s">
        <v>651</v>
      </c>
    </row>
    <row r="117" spans="1:12" x14ac:dyDescent="0.25">
      <c r="A117" t="s">
        <v>126</v>
      </c>
      <c r="B117" t="s">
        <v>426</v>
      </c>
      <c r="C117" s="18" t="s">
        <v>608</v>
      </c>
      <c r="D117" s="18" t="s">
        <v>636</v>
      </c>
      <c r="E117" s="4">
        <v>2</v>
      </c>
      <c r="F117">
        <v>301.95</v>
      </c>
      <c r="G117" s="4">
        <v>0.16</v>
      </c>
      <c r="H117" s="7">
        <v>507.27600000000001</v>
      </c>
      <c r="I117" s="12">
        <v>45053</v>
      </c>
      <c r="J117" s="12" t="str">
        <f t="shared" si="1"/>
        <v>2023</v>
      </c>
      <c r="K117" s="18" t="s">
        <v>646</v>
      </c>
      <c r="L117" s="18" t="s">
        <v>653</v>
      </c>
    </row>
    <row r="118" spans="1:12" x14ac:dyDescent="0.25">
      <c r="A118" t="s">
        <v>127</v>
      </c>
      <c r="B118" t="s">
        <v>427</v>
      </c>
      <c r="C118" s="18" t="s">
        <v>607</v>
      </c>
      <c r="D118" s="18" t="s">
        <v>623</v>
      </c>
      <c r="E118" s="4">
        <v>5</v>
      </c>
      <c r="F118">
        <v>110.65</v>
      </c>
      <c r="G118" s="4">
        <v>0.03</v>
      </c>
      <c r="H118" s="7">
        <v>536.65250000000003</v>
      </c>
      <c r="I118" s="12">
        <v>45778</v>
      </c>
      <c r="J118" s="12" t="str">
        <f t="shared" si="1"/>
        <v>2025</v>
      </c>
      <c r="K118" s="18" t="s">
        <v>650</v>
      </c>
      <c r="L118" s="18" t="s">
        <v>655</v>
      </c>
    </row>
    <row r="119" spans="1:12" x14ac:dyDescent="0.25">
      <c r="A119" t="s">
        <v>128</v>
      </c>
      <c r="B119" t="s">
        <v>428</v>
      </c>
      <c r="C119" s="18" t="s">
        <v>610</v>
      </c>
      <c r="D119" s="18" t="s">
        <v>621</v>
      </c>
      <c r="E119" s="4">
        <v>1</v>
      </c>
      <c r="F119">
        <v>32.19</v>
      </c>
      <c r="G119" s="4">
        <v>0.21</v>
      </c>
      <c r="H119" s="7">
        <v>25.430099999999999</v>
      </c>
      <c r="I119" s="12">
        <v>45839</v>
      </c>
      <c r="J119" s="12" t="str">
        <f t="shared" si="1"/>
        <v>2025</v>
      </c>
      <c r="K119" s="18" t="s">
        <v>648</v>
      </c>
      <c r="L119" s="18" t="s">
        <v>653</v>
      </c>
    </row>
    <row r="120" spans="1:12" x14ac:dyDescent="0.25">
      <c r="A120" t="s">
        <v>129</v>
      </c>
      <c r="B120" t="s">
        <v>429</v>
      </c>
      <c r="C120" s="18" t="s">
        <v>609</v>
      </c>
      <c r="D120" s="18" t="s">
        <v>627</v>
      </c>
      <c r="E120" s="4">
        <v>4</v>
      </c>
      <c r="F120">
        <v>454.32</v>
      </c>
      <c r="G120" s="4">
        <v>0.02</v>
      </c>
      <c r="H120" s="7">
        <v>1780.9344000000001</v>
      </c>
      <c r="I120" s="12">
        <v>45026</v>
      </c>
      <c r="J120" s="12" t="str">
        <f t="shared" si="1"/>
        <v>2023</v>
      </c>
      <c r="K120" s="18" t="s">
        <v>649</v>
      </c>
      <c r="L120" s="18" t="s">
        <v>653</v>
      </c>
    </row>
    <row r="121" spans="1:12" x14ac:dyDescent="0.25">
      <c r="A121" t="s">
        <v>130</v>
      </c>
      <c r="B121" t="s">
        <v>430</v>
      </c>
      <c r="C121" s="18" t="s">
        <v>604</v>
      </c>
      <c r="D121" s="18" t="s">
        <v>633</v>
      </c>
      <c r="E121" s="4">
        <v>3</v>
      </c>
      <c r="F121">
        <v>276.77999999999997</v>
      </c>
      <c r="G121" s="4">
        <v>0.25</v>
      </c>
      <c r="H121" s="7">
        <v>622.75499999999988</v>
      </c>
      <c r="I121" s="12">
        <v>45722</v>
      </c>
      <c r="J121" s="12" t="str">
        <f t="shared" si="1"/>
        <v>2025</v>
      </c>
      <c r="K121" s="18" t="s">
        <v>649</v>
      </c>
      <c r="L121" s="18" t="s">
        <v>654</v>
      </c>
    </row>
    <row r="122" spans="1:12" x14ac:dyDescent="0.25">
      <c r="A122" t="s">
        <v>131</v>
      </c>
      <c r="B122" t="s">
        <v>431</v>
      </c>
      <c r="C122" s="18" t="s">
        <v>609</v>
      </c>
      <c r="D122" s="18" t="s">
        <v>636</v>
      </c>
      <c r="E122" s="4">
        <v>1</v>
      </c>
      <c r="F122">
        <v>59.44</v>
      </c>
      <c r="G122" s="4">
        <v>0.13</v>
      </c>
      <c r="H122" s="7">
        <v>51.712799999999987</v>
      </c>
      <c r="I122" s="12">
        <v>45658</v>
      </c>
      <c r="J122" s="12" t="str">
        <f t="shared" si="1"/>
        <v>2025</v>
      </c>
      <c r="K122" s="18" t="s">
        <v>647</v>
      </c>
      <c r="L122" s="18" t="s">
        <v>651</v>
      </c>
    </row>
    <row r="123" spans="1:12" x14ac:dyDescent="0.25">
      <c r="A123" t="s">
        <v>132</v>
      </c>
      <c r="B123" t="s">
        <v>432</v>
      </c>
      <c r="C123" s="18" t="s">
        <v>610</v>
      </c>
      <c r="D123" s="18" t="s">
        <v>637</v>
      </c>
      <c r="E123" s="4">
        <v>5</v>
      </c>
      <c r="F123">
        <v>388.54</v>
      </c>
      <c r="G123" s="4">
        <v>7.0000000000000007E-2</v>
      </c>
      <c r="H123" s="7">
        <v>1806.711</v>
      </c>
      <c r="I123" s="12">
        <v>45058</v>
      </c>
      <c r="J123" s="12" t="str">
        <f t="shared" si="1"/>
        <v>2023</v>
      </c>
      <c r="K123" s="18" t="s">
        <v>648</v>
      </c>
      <c r="L123" s="18" t="s">
        <v>652</v>
      </c>
    </row>
    <row r="124" spans="1:12" x14ac:dyDescent="0.25">
      <c r="A124" t="s">
        <v>133</v>
      </c>
      <c r="B124" t="s">
        <v>433</v>
      </c>
      <c r="C124" s="18" t="s">
        <v>608</v>
      </c>
      <c r="D124" s="18" t="s">
        <v>636</v>
      </c>
      <c r="E124" s="4">
        <v>3</v>
      </c>
      <c r="F124">
        <v>166.18</v>
      </c>
      <c r="G124" s="4">
        <v>0.12</v>
      </c>
      <c r="H124" s="7">
        <v>438.71519999999998</v>
      </c>
      <c r="I124" s="12">
        <v>45050</v>
      </c>
      <c r="J124" s="12" t="str">
        <f t="shared" si="1"/>
        <v>2023</v>
      </c>
      <c r="K124" s="18" t="s">
        <v>650</v>
      </c>
      <c r="L124" s="18" t="s">
        <v>654</v>
      </c>
    </row>
    <row r="125" spans="1:12" x14ac:dyDescent="0.25">
      <c r="A125" t="s">
        <v>134</v>
      </c>
      <c r="B125" t="s">
        <v>434</v>
      </c>
      <c r="C125" s="18" t="s">
        <v>607</v>
      </c>
      <c r="D125" s="18" t="s">
        <v>619</v>
      </c>
      <c r="E125" s="4">
        <v>5</v>
      </c>
      <c r="F125">
        <v>134.94999999999999</v>
      </c>
      <c r="G125" s="4">
        <v>0.19</v>
      </c>
      <c r="H125" s="7">
        <v>546.54750000000001</v>
      </c>
      <c r="I125" s="12">
        <v>45176</v>
      </c>
      <c r="J125" s="12" t="str">
        <f t="shared" si="1"/>
        <v>2023</v>
      </c>
      <c r="K125" s="18" t="s">
        <v>646</v>
      </c>
      <c r="L125" s="18" t="s">
        <v>654</v>
      </c>
    </row>
    <row r="126" spans="1:12" x14ac:dyDescent="0.25">
      <c r="A126" t="s">
        <v>135</v>
      </c>
      <c r="B126" t="s">
        <v>435</v>
      </c>
      <c r="C126" s="18" t="s">
        <v>604</v>
      </c>
      <c r="D126" s="18" t="s">
        <v>616</v>
      </c>
      <c r="E126" s="4">
        <v>5</v>
      </c>
      <c r="F126">
        <v>436.04</v>
      </c>
      <c r="G126" s="4">
        <v>0.09</v>
      </c>
      <c r="H126" s="7">
        <v>1983.982</v>
      </c>
      <c r="I126" s="12">
        <v>45477</v>
      </c>
      <c r="J126" s="12" t="str">
        <f t="shared" si="1"/>
        <v>2024</v>
      </c>
      <c r="K126" s="18" t="s">
        <v>647</v>
      </c>
      <c r="L126" s="18" t="s">
        <v>651</v>
      </c>
    </row>
    <row r="127" spans="1:12" x14ac:dyDescent="0.25">
      <c r="A127" t="s">
        <v>136</v>
      </c>
      <c r="B127" t="s">
        <v>436</v>
      </c>
      <c r="C127" s="18" t="s">
        <v>604</v>
      </c>
      <c r="D127" s="18" t="s">
        <v>616</v>
      </c>
      <c r="E127" s="4">
        <v>3</v>
      </c>
      <c r="F127">
        <v>327.87</v>
      </c>
      <c r="G127" s="4">
        <v>0.08</v>
      </c>
      <c r="H127" s="7">
        <v>904.9212</v>
      </c>
      <c r="I127" s="12">
        <v>45269</v>
      </c>
      <c r="J127" s="12" t="str">
        <f t="shared" si="1"/>
        <v>2023</v>
      </c>
      <c r="K127" s="18" t="s">
        <v>647</v>
      </c>
      <c r="L127" s="18" t="s">
        <v>651</v>
      </c>
    </row>
    <row r="128" spans="1:12" x14ac:dyDescent="0.25">
      <c r="A128" t="s">
        <v>137</v>
      </c>
      <c r="B128" t="s">
        <v>437</v>
      </c>
      <c r="C128" s="18" t="s">
        <v>608</v>
      </c>
      <c r="D128" s="18" t="s">
        <v>632</v>
      </c>
      <c r="E128" s="4">
        <v>2</v>
      </c>
      <c r="F128">
        <v>243.88561461794012</v>
      </c>
      <c r="G128" s="4">
        <v>0.09</v>
      </c>
      <c r="H128" s="7">
        <v>443.87181860465103</v>
      </c>
      <c r="I128" s="12">
        <v>45027</v>
      </c>
      <c r="J128" s="12" t="str">
        <f t="shared" si="1"/>
        <v>2023</v>
      </c>
      <c r="K128" s="18" t="s">
        <v>650</v>
      </c>
      <c r="L128" s="18" t="s">
        <v>651</v>
      </c>
    </row>
    <row r="129" spans="1:12" x14ac:dyDescent="0.25">
      <c r="A129" t="s">
        <v>138</v>
      </c>
      <c r="B129" t="s">
        <v>438</v>
      </c>
      <c r="C129" s="18" t="s">
        <v>606</v>
      </c>
      <c r="D129" s="18" t="s">
        <v>626</v>
      </c>
      <c r="E129" s="4">
        <v>4</v>
      </c>
      <c r="F129">
        <v>399.54</v>
      </c>
      <c r="G129" s="4">
        <v>0.04</v>
      </c>
      <c r="H129" s="7">
        <v>1534.2336</v>
      </c>
      <c r="I129" s="12">
        <v>45050</v>
      </c>
      <c r="J129" s="12" t="str">
        <f t="shared" si="1"/>
        <v>2023</v>
      </c>
      <c r="K129" s="18" t="s">
        <v>646</v>
      </c>
      <c r="L129" s="18" t="s">
        <v>653</v>
      </c>
    </row>
    <row r="130" spans="1:12" x14ac:dyDescent="0.25">
      <c r="A130" t="s">
        <v>139</v>
      </c>
      <c r="B130" t="s">
        <v>439</v>
      </c>
      <c r="C130" s="18" t="s">
        <v>608</v>
      </c>
      <c r="D130" s="18" t="s">
        <v>656</v>
      </c>
      <c r="E130" s="4">
        <v>2</v>
      </c>
      <c r="F130">
        <v>14.48</v>
      </c>
      <c r="G130" s="4">
        <v>0.11</v>
      </c>
      <c r="H130" s="7">
        <v>25.7744</v>
      </c>
      <c r="I130" s="12">
        <v>45150</v>
      </c>
      <c r="J130" s="12" t="str">
        <f t="shared" ref="J130:J193" si="2">TEXT(I130,"yyyy")</f>
        <v>2023</v>
      </c>
      <c r="K130" s="18" t="s">
        <v>648</v>
      </c>
      <c r="L130" s="18" t="s">
        <v>653</v>
      </c>
    </row>
    <row r="131" spans="1:12" x14ac:dyDescent="0.25">
      <c r="A131" t="s">
        <v>140</v>
      </c>
      <c r="B131" t="s">
        <v>440</v>
      </c>
      <c r="C131" s="18" t="s">
        <v>609</v>
      </c>
      <c r="D131" s="18" t="s">
        <v>630</v>
      </c>
      <c r="E131" s="4">
        <v>1</v>
      </c>
      <c r="F131">
        <v>455.79</v>
      </c>
      <c r="G131" s="4">
        <v>0.28000000000000003</v>
      </c>
      <c r="H131" s="7">
        <v>328.16879999999998</v>
      </c>
      <c r="I131" s="12">
        <v>45021</v>
      </c>
      <c r="J131" s="12" t="str">
        <f t="shared" si="2"/>
        <v>2023</v>
      </c>
      <c r="K131" s="18" t="s">
        <v>646</v>
      </c>
      <c r="L131" s="18" t="s">
        <v>655</v>
      </c>
    </row>
    <row r="132" spans="1:12" x14ac:dyDescent="0.25">
      <c r="A132" t="s">
        <v>141</v>
      </c>
      <c r="B132" t="s">
        <v>441</v>
      </c>
      <c r="C132" s="18" t="s">
        <v>608</v>
      </c>
      <c r="D132" s="18" t="s">
        <v>636</v>
      </c>
      <c r="E132" s="4">
        <v>2</v>
      </c>
      <c r="F132">
        <v>425.45</v>
      </c>
      <c r="G132" s="4">
        <v>0.03</v>
      </c>
      <c r="H132" s="7">
        <v>825.37299999999993</v>
      </c>
      <c r="I132" s="12">
        <v>45209</v>
      </c>
      <c r="J132" s="12" t="str">
        <f t="shared" si="2"/>
        <v>2023</v>
      </c>
      <c r="K132" s="18" t="s">
        <v>647</v>
      </c>
      <c r="L132" s="18" t="s">
        <v>653</v>
      </c>
    </row>
    <row r="133" spans="1:12" x14ac:dyDescent="0.25">
      <c r="A133" t="s">
        <v>142</v>
      </c>
      <c r="B133" t="s">
        <v>442</v>
      </c>
      <c r="C133" s="18" t="s">
        <v>610</v>
      </c>
      <c r="D133" s="18" t="s">
        <v>630</v>
      </c>
      <c r="E133" s="4">
        <v>1</v>
      </c>
      <c r="F133">
        <v>451.62</v>
      </c>
      <c r="G133" s="4">
        <v>0.08</v>
      </c>
      <c r="H133" s="7">
        <v>415.49040000000002</v>
      </c>
      <c r="I133" s="12">
        <v>45277</v>
      </c>
      <c r="J133" s="12" t="str">
        <f t="shared" si="2"/>
        <v>2023</v>
      </c>
      <c r="K133" s="18" t="s">
        <v>646</v>
      </c>
      <c r="L133" s="18" t="s">
        <v>655</v>
      </c>
    </row>
    <row r="134" spans="1:12" x14ac:dyDescent="0.25">
      <c r="A134" t="s">
        <v>143</v>
      </c>
      <c r="B134" t="s">
        <v>443</v>
      </c>
      <c r="C134" s="18" t="s">
        <v>604</v>
      </c>
      <c r="D134" s="18" t="s">
        <v>623</v>
      </c>
      <c r="E134" s="4">
        <v>4</v>
      </c>
      <c r="F134">
        <v>286.33999999999997</v>
      </c>
      <c r="G134" s="4">
        <v>0.2</v>
      </c>
      <c r="H134" s="7">
        <v>916.28800000000001</v>
      </c>
      <c r="I134" s="12">
        <v>45389</v>
      </c>
      <c r="J134" s="12" t="str">
        <f t="shared" si="2"/>
        <v>2024</v>
      </c>
      <c r="K134" s="18" t="s">
        <v>647</v>
      </c>
      <c r="L134" s="18" t="s">
        <v>655</v>
      </c>
    </row>
    <row r="135" spans="1:12" x14ac:dyDescent="0.25">
      <c r="A135" t="s">
        <v>144</v>
      </c>
      <c r="B135" t="s">
        <v>444</v>
      </c>
      <c r="C135" s="18" t="s">
        <v>606</v>
      </c>
      <c r="D135" s="18" t="s">
        <v>618</v>
      </c>
      <c r="E135" s="4">
        <v>5</v>
      </c>
      <c r="F135">
        <v>169.92</v>
      </c>
      <c r="G135" s="4">
        <v>0.24</v>
      </c>
      <c r="H135" s="7">
        <v>645.69599999999991</v>
      </c>
      <c r="I135" s="12">
        <v>45043</v>
      </c>
      <c r="J135" s="12" t="str">
        <f t="shared" si="2"/>
        <v>2023</v>
      </c>
      <c r="K135" s="18" t="s">
        <v>646</v>
      </c>
      <c r="L135" s="18" t="s">
        <v>651</v>
      </c>
    </row>
    <row r="136" spans="1:12" x14ac:dyDescent="0.25">
      <c r="A136" t="s">
        <v>145</v>
      </c>
      <c r="B136" t="s">
        <v>445</v>
      </c>
      <c r="C136" s="18" t="s">
        <v>607</v>
      </c>
      <c r="D136" s="18" t="s">
        <v>637</v>
      </c>
      <c r="E136" s="4">
        <v>1</v>
      </c>
      <c r="F136">
        <v>358.72</v>
      </c>
      <c r="G136" s="4">
        <v>0.22</v>
      </c>
      <c r="H136" s="7">
        <v>279.80160000000001</v>
      </c>
      <c r="I136" s="12">
        <v>45628</v>
      </c>
      <c r="J136" s="12" t="str">
        <f t="shared" si="2"/>
        <v>2024</v>
      </c>
      <c r="K136" s="18" t="s">
        <v>647</v>
      </c>
      <c r="L136" s="18" t="s">
        <v>652</v>
      </c>
    </row>
    <row r="137" spans="1:12" x14ac:dyDescent="0.25">
      <c r="A137" t="s">
        <v>146</v>
      </c>
      <c r="B137" t="s">
        <v>446</v>
      </c>
      <c r="C137" s="18" t="s">
        <v>604</v>
      </c>
      <c r="D137" s="18" t="s">
        <v>612</v>
      </c>
      <c r="E137" s="4">
        <v>5</v>
      </c>
      <c r="F137">
        <v>53.91</v>
      </c>
      <c r="G137" s="4">
        <v>0.18</v>
      </c>
      <c r="H137" s="7">
        <v>221.03100000000001</v>
      </c>
      <c r="I137" s="12">
        <v>45419</v>
      </c>
      <c r="J137" s="12" t="str">
        <f t="shared" si="2"/>
        <v>2024</v>
      </c>
      <c r="K137" s="18" t="s">
        <v>649</v>
      </c>
      <c r="L137" s="18" t="s">
        <v>651</v>
      </c>
    </row>
    <row r="138" spans="1:12" x14ac:dyDescent="0.25">
      <c r="A138" t="s">
        <v>147</v>
      </c>
      <c r="B138" t="s">
        <v>447</v>
      </c>
      <c r="C138" s="18" t="s">
        <v>604</v>
      </c>
      <c r="D138" s="18" t="s">
        <v>612</v>
      </c>
      <c r="E138" s="4">
        <v>3</v>
      </c>
      <c r="F138">
        <v>81.510000000000005</v>
      </c>
      <c r="G138" s="4">
        <v>0.13</v>
      </c>
      <c r="H138" s="7">
        <v>212.74109999999999</v>
      </c>
      <c r="I138" s="12">
        <v>45055</v>
      </c>
      <c r="J138" s="12" t="str">
        <f t="shared" si="2"/>
        <v>2023</v>
      </c>
      <c r="K138" s="18" t="s">
        <v>649</v>
      </c>
      <c r="L138" s="18" t="s">
        <v>652</v>
      </c>
    </row>
    <row r="139" spans="1:12" x14ac:dyDescent="0.25">
      <c r="A139" t="s">
        <v>148</v>
      </c>
      <c r="B139" t="s">
        <v>448</v>
      </c>
      <c r="C139" s="18" t="s">
        <v>604</v>
      </c>
      <c r="D139" s="18" t="s">
        <v>612</v>
      </c>
      <c r="E139" s="4">
        <v>3</v>
      </c>
      <c r="F139">
        <v>172.79</v>
      </c>
      <c r="G139" s="4">
        <v>0.24</v>
      </c>
      <c r="H139" s="7">
        <v>393.96120000000002</v>
      </c>
      <c r="I139" s="12">
        <v>45541</v>
      </c>
      <c r="J139" s="12" t="str">
        <f t="shared" si="2"/>
        <v>2024</v>
      </c>
      <c r="K139" s="18" t="s">
        <v>646</v>
      </c>
      <c r="L139" s="18" t="s">
        <v>654</v>
      </c>
    </row>
    <row r="140" spans="1:12" x14ac:dyDescent="0.25">
      <c r="A140" t="s">
        <v>149</v>
      </c>
      <c r="B140" t="s">
        <v>449</v>
      </c>
      <c r="C140" s="18" t="s">
        <v>604</v>
      </c>
      <c r="D140" s="18" t="s">
        <v>612</v>
      </c>
      <c r="E140" s="4">
        <v>3</v>
      </c>
      <c r="F140">
        <v>393.17</v>
      </c>
      <c r="G140" s="4">
        <v>0.11</v>
      </c>
      <c r="H140" s="7">
        <v>1049.7638999999999</v>
      </c>
      <c r="I140" s="12">
        <v>45128</v>
      </c>
      <c r="J140" s="12" t="str">
        <f t="shared" si="2"/>
        <v>2023</v>
      </c>
      <c r="K140" s="18" t="s">
        <v>647</v>
      </c>
      <c r="L140" s="18" t="s">
        <v>655</v>
      </c>
    </row>
    <row r="141" spans="1:12" x14ac:dyDescent="0.25">
      <c r="A141" t="s">
        <v>150</v>
      </c>
      <c r="B141" t="s">
        <v>450</v>
      </c>
      <c r="C141" s="18" t="s">
        <v>607</v>
      </c>
      <c r="D141" s="18" t="s">
        <v>641</v>
      </c>
      <c r="E141" s="4">
        <v>4</v>
      </c>
      <c r="F141">
        <v>152.75</v>
      </c>
      <c r="G141" s="4">
        <v>0.25</v>
      </c>
      <c r="H141" s="7">
        <v>458.25</v>
      </c>
      <c r="I141" s="12">
        <v>45784</v>
      </c>
      <c r="J141" s="12" t="str">
        <f t="shared" si="2"/>
        <v>2025</v>
      </c>
      <c r="K141" s="18" t="s">
        <v>650</v>
      </c>
      <c r="L141" s="18" t="s">
        <v>652</v>
      </c>
    </row>
    <row r="142" spans="1:12" x14ac:dyDescent="0.25">
      <c r="A142" t="s">
        <v>151</v>
      </c>
      <c r="B142" t="s">
        <v>451</v>
      </c>
      <c r="C142" s="18" t="s">
        <v>605</v>
      </c>
      <c r="D142" s="18" t="s">
        <v>644</v>
      </c>
      <c r="E142" s="4">
        <v>4</v>
      </c>
      <c r="F142">
        <v>462.51</v>
      </c>
      <c r="G142" s="4">
        <v>0.16</v>
      </c>
      <c r="H142" s="7">
        <v>1554.0336</v>
      </c>
      <c r="I142" s="12">
        <v>45023</v>
      </c>
      <c r="J142" s="12" t="str">
        <f t="shared" si="2"/>
        <v>2023</v>
      </c>
      <c r="K142" s="18" t="s">
        <v>647</v>
      </c>
      <c r="L142" s="18" t="s">
        <v>654</v>
      </c>
    </row>
    <row r="143" spans="1:12" x14ac:dyDescent="0.25">
      <c r="A143" t="s">
        <v>152</v>
      </c>
      <c r="B143" t="s">
        <v>452</v>
      </c>
      <c r="C143" s="18" t="s">
        <v>609</v>
      </c>
      <c r="D143" s="18" t="s">
        <v>627</v>
      </c>
      <c r="E143" s="4">
        <v>3</v>
      </c>
      <c r="F143">
        <v>58.32</v>
      </c>
      <c r="G143" s="4">
        <v>0.15</v>
      </c>
      <c r="H143" s="7">
        <v>148.71600000000001</v>
      </c>
      <c r="I143" s="12">
        <v>45667</v>
      </c>
      <c r="J143" s="12" t="str">
        <f t="shared" si="2"/>
        <v>2025</v>
      </c>
      <c r="K143" s="18" t="s">
        <v>648</v>
      </c>
      <c r="L143" s="18" t="s">
        <v>652</v>
      </c>
    </row>
    <row r="144" spans="1:12" x14ac:dyDescent="0.25">
      <c r="A144" t="s">
        <v>153</v>
      </c>
      <c r="B144" t="s">
        <v>453</v>
      </c>
      <c r="C144" s="18" t="s">
        <v>605</v>
      </c>
      <c r="D144" s="18" t="s">
        <v>644</v>
      </c>
      <c r="E144" s="4">
        <v>4</v>
      </c>
      <c r="F144">
        <v>470.93</v>
      </c>
      <c r="G144" s="4">
        <v>0.1</v>
      </c>
      <c r="H144" s="7">
        <v>1695.348</v>
      </c>
      <c r="I144" s="12">
        <v>45386</v>
      </c>
      <c r="J144" s="12" t="str">
        <f t="shared" si="2"/>
        <v>2024</v>
      </c>
      <c r="K144" s="18" t="s">
        <v>649</v>
      </c>
      <c r="L144" s="18" t="s">
        <v>651</v>
      </c>
    </row>
    <row r="145" spans="1:12" x14ac:dyDescent="0.25">
      <c r="A145" t="s">
        <v>154</v>
      </c>
      <c r="B145" t="s">
        <v>454</v>
      </c>
      <c r="C145" s="18" t="s">
        <v>610</v>
      </c>
      <c r="D145" s="18" t="s">
        <v>621</v>
      </c>
      <c r="E145" s="4">
        <v>1</v>
      </c>
      <c r="F145">
        <v>327.51</v>
      </c>
      <c r="G145" s="4">
        <v>0.28000000000000003</v>
      </c>
      <c r="H145" s="7">
        <v>235.80719999999999</v>
      </c>
      <c r="I145" s="12">
        <v>45574</v>
      </c>
      <c r="J145" s="12" t="str">
        <f t="shared" si="2"/>
        <v>2024</v>
      </c>
      <c r="K145" s="18" t="s">
        <v>646</v>
      </c>
      <c r="L145" s="18" t="s">
        <v>654</v>
      </c>
    </row>
    <row r="146" spans="1:12" x14ac:dyDescent="0.25">
      <c r="A146" t="s">
        <v>155</v>
      </c>
      <c r="B146" t="s">
        <v>455</v>
      </c>
      <c r="C146" s="18" t="s">
        <v>608</v>
      </c>
      <c r="D146" s="18" t="s">
        <v>620</v>
      </c>
      <c r="E146" s="4">
        <v>4</v>
      </c>
      <c r="F146">
        <v>310.91000000000003</v>
      </c>
      <c r="G146" s="4">
        <v>0.13</v>
      </c>
      <c r="H146" s="7">
        <v>1081.9667999999999</v>
      </c>
      <c r="I146" s="12">
        <v>44986</v>
      </c>
      <c r="J146" s="12" t="str">
        <f t="shared" si="2"/>
        <v>2023</v>
      </c>
      <c r="K146" s="18" t="s">
        <v>650</v>
      </c>
      <c r="L146" s="18" t="s">
        <v>652</v>
      </c>
    </row>
    <row r="147" spans="1:12" x14ac:dyDescent="0.25">
      <c r="A147" t="s">
        <v>156</v>
      </c>
      <c r="B147" t="s">
        <v>456</v>
      </c>
      <c r="C147" s="18" t="s">
        <v>606</v>
      </c>
      <c r="D147" s="18" t="s">
        <v>613</v>
      </c>
      <c r="E147" s="4">
        <v>3</v>
      </c>
      <c r="F147">
        <v>138.55000000000001</v>
      </c>
      <c r="G147" s="4">
        <v>0.16</v>
      </c>
      <c r="H147" s="7">
        <v>349.14600000000002</v>
      </c>
      <c r="I147" s="12">
        <v>44968</v>
      </c>
      <c r="J147" s="12" t="str">
        <f t="shared" si="2"/>
        <v>2023</v>
      </c>
      <c r="K147" s="18" t="s">
        <v>646</v>
      </c>
      <c r="L147" s="18" t="s">
        <v>651</v>
      </c>
    </row>
    <row r="148" spans="1:12" x14ac:dyDescent="0.25">
      <c r="A148" t="s">
        <v>157</v>
      </c>
      <c r="B148" t="s">
        <v>457</v>
      </c>
      <c r="C148" s="18" t="s">
        <v>606</v>
      </c>
      <c r="D148" s="18" t="s">
        <v>624</v>
      </c>
      <c r="E148" s="4">
        <v>5</v>
      </c>
      <c r="F148">
        <v>163.46</v>
      </c>
      <c r="G148" s="4">
        <v>0.09</v>
      </c>
      <c r="H148" s="7">
        <v>743.74300000000005</v>
      </c>
      <c r="I148" s="12">
        <v>45577</v>
      </c>
      <c r="J148" s="12" t="str">
        <f t="shared" si="2"/>
        <v>2024</v>
      </c>
      <c r="K148" s="18" t="s">
        <v>646</v>
      </c>
      <c r="L148" s="18" t="s">
        <v>651</v>
      </c>
    </row>
    <row r="149" spans="1:12" x14ac:dyDescent="0.25">
      <c r="A149" t="s">
        <v>158</v>
      </c>
      <c r="B149" t="s">
        <v>458</v>
      </c>
      <c r="C149" s="18" t="s">
        <v>608</v>
      </c>
      <c r="D149" s="18" t="s">
        <v>636</v>
      </c>
      <c r="E149" s="4">
        <v>2</v>
      </c>
      <c r="F149">
        <v>78.75</v>
      </c>
      <c r="G149" s="4">
        <v>0.25</v>
      </c>
      <c r="H149" s="7">
        <v>118.125</v>
      </c>
      <c r="I149" s="12">
        <v>44992</v>
      </c>
      <c r="J149" s="12" t="str">
        <f t="shared" si="2"/>
        <v>2023</v>
      </c>
      <c r="K149" s="18" t="s">
        <v>648</v>
      </c>
      <c r="L149" s="18" t="s">
        <v>654</v>
      </c>
    </row>
    <row r="150" spans="1:12" x14ac:dyDescent="0.25">
      <c r="A150" t="s">
        <v>159</v>
      </c>
      <c r="B150" t="s">
        <v>427</v>
      </c>
      <c r="C150" s="18" t="s">
        <v>608</v>
      </c>
      <c r="D150" s="18" t="s">
        <v>622</v>
      </c>
      <c r="E150" s="4">
        <v>4</v>
      </c>
      <c r="F150">
        <v>287.04000000000002</v>
      </c>
      <c r="G150" s="4">
        <v>0.09</v>
      </c>
      <c r="H150" s="7">
        <v>1044.8255999999999</v>
      </c>
      <c r="I150" s="12">
        <v>45202</v>
      </c>
      <c r="J150" s="12" t="str">
        <f t="shared" si="2"/>
        <v>2023</v>
      </c>
      <c r="K150" s="18" t="s">
        <v>650</v>
      </c>
      <c r="L150" s="18" t="s">
        <v>651</v>
      </c>
    </row>
    <row r="151" spans="1:12" x14ac:dyDescent="0.25">
      <c r="A151" t="s">
        <v>160</v>
      </c>
      <c r="B151" t="s">
        <v>459</v>
      </c>
      <c r="C151" s="18" t="s">
        <v>605</v>
      </c>
      <c r="D151" s="18" t="s">
        <v>617</v>
      </c>
      <c r="E151" s="4">
        <v>5</v>
      </c>
      <c r="F151">
        <v>380.83</v>
      </c>
      <c r="G151" s="4">
        <v>0.16</v>
      </c>
      <c r="H151" s="7">
        <v>1599.4860000000001</v>
      </c>
      <c r="I151" s="12">
        <v>45567</v>
      </c>
      <c r="J151" s="12" t="str">
        <f t="shared" si="2"/>
        <v>2024</v>
      </c>
      <c r="K151" s="18" t="s">
        <v>649</v>
      </c>
      <c r="L151" s="18" t="s">
        <v>653</v>
      </c>
    </row>
    <row r="152" spans="1:12" x14ac:dyDescent="0.25">
      <c r="A152" t="s">
        <v>161</v>
      </c>
      <c r="B152" t="s">
        <v>460</v>
      </c>
      <c r="C152" s="18" t="s">
        <v>605</v>
      </c>
      <c r="D152" s="18" t="s">
        <v>615</v>
      </c>
      <c r="E152" s="4">
        <v>5</v>
      </c>
      <c r="F152">
        <v>309.02999999999997</v>
      </c>
      <c r="G152" s="4">
        <v>0.05</v>
      </c>
      <c r="H152" s="7">
        <v>1467.8924999999999</v>
      </c>
      <c r="I152" s="12">
        <v>45386</v>
      </c>
      <c r="J152" s="12" t="str">
        <f t="shared" si="2"/>
        <v>2024</v>
      </c>
      <c r="K152" s="18" t="s">
        <v>647</v>
      </c>
      <c r="L152" s="18" t="s">
        <v>655</v>
      </c>
    </row>
    <row r="153" spans="1:12" x14ac:dyDescent="0.25">
      <c r="A153" t="s">
        <v>162</v>
      </c>
      <c r="B153" t="s">
        <v>461</v>
      </c>
      <c r="C153" s="18" t="s">
        <v>609</v>
      </c>
      <c r="D153" s="18" t="s">
        <v>645</v>
      </c>
      <c r="E153" s="4">
        <v>3</v>
      </c>
      <c r="F153">
        <v>377.55</v>
      </c>
      <c r="G153" s="4">
        <v>0.28000000000000003</v>
      </c>
      <c r="H153" s="7">
        <v>815.50800000000004</v>
      </c>
      <c r="I153" s="12">
        <v>44969</v>
      </c>
      <c r="J153" s="12" t="str">
        <f t="shared" si="2"/>
        <v>2023</v>
      </c>
      <c r="K153" s="18" t="s">
        <v>650</v>
      </c>
      <c r="L153" s="18" t="s">
        <v>654</v>
      </c>
    </row>
    <row r="154" spans="1:12" x14ac:dyDescent="0.25">
      <c r="A154" t="s">
        <v>163</v>
      </c>
      <c r="B154" t="s">
        <v>462</v>
      </c>
      <c r="C154" s="18" t="s">
        <v>609</v>
      </c>
      <c r="D154" s="18" t="s">
        <v>627</v>
      </c>
      <c r="E154" s="4">
        <v>5</v>
      </c>
      <c r="F154">
        <v>193.83</v>
      </c>
      <c r="G154" s="4">
        <v>0.19</v>
      </c>
      <c r="H154" s="7">
        <v>785.01150000000007</v>
      </c>
      <c r="I154" s="12">
        <v>45414</v>
      </c>
      <c r="J154" s="12" t="str">
        <f t="shared" si="2"/>
        <v>2024</v>
      </c>
      <c r="K154" s="18" t="s">
        <v>646</v>
      </c>
      <c r="L154" s="18" t="s">
        <v>652</v>
      </c>
    </row>
    <row r="155" spans="1:12" x14ac:dyDescent="0.25">
      <c r="A155" t="s">
        <v>164</v>
      </c>
      <c r="B155" t="s">
        <v>463</v>
      </c>
      <c r="C155" s="18" t="s">
        <v>610</v>
      </c>
      <c r="D155" s="18" t="s">
        <v>630</v>
      </c>
      <c r="E155" s="4">
        <v>3</v>
      </c>
      <c r="F155">
        <v>351.67</v>
      </c>
      <c r="G155" s="4">
        <v>0.24</v>
      </c>
      <c r="H155" s="7">
        <v>801.80759999999998</v>
      </c>
      <c r="I155" s="12">
        <v>45603</v>
      </c>
      <c r="J155" s="12" t="str">
        <f t="shared" si="2"/>
        <v>2024</v>
      </c>
      <c r="K155" s="18" t="s">
        <v>648</v>
      </c>
      <c r="L155" s="18" t="s">
        <v>654</v>
      </c>
    </row>
    <row r="156" spans="1:12" x14ac:dyDescent="0.25">
      <c r="A156" t="s">
        <v>165</v>
      </c>
      <c r="B156" t="s">
        <v>464</v>
      </c>
      <c r="C156" s="18" t="s">
        <v>607</v>
      </c>
      <c r="D156" s="18" t="s">
        <v>623</v>
      </c>
      <c r="E156" s="4">
        <v>4</v>
      </c>
      <c r="F156">
        <v>383.5</v>
      </c>
      <c r="G156" s="4">
        <v>0.03</v>
      </c>
      <c r="H156" s="7">
        <v>1487.98</v>
      </c>
      <c r="I156" s="12">
        <v>45634</v>
      </c>
      <c r="J156" s="12" t="str">
        <f t="shared" si="2"/>
        <v>2024</v>
      </c>
      <c r="K156" s="18" t="s">
        <v>646</v>
      </c>
      <c r="L156" s="18" t="s">
        <v>654</v>
      </c>
    </row>
    <row r="157" spans="1:12" x14ac:dyDescent="0.25">
      <c r="A157" t="s">
        <v>166</v>
      </c>
      <c r="B157" t="s">
        <v>465</v>
      </c>
      <c r="C157" s="18" t="s">
        <v>609</v>
      </c>
      <c r="D157" s="18" t="s">
        <v>625</v>
      </c>
      <c r="E157" s="4">
        <v>3</v>
      </c>
      <c r="F157">
        <v>439.53</v>
      </c>
      <c r="G157" s="4">
        <v>0.2</v>
      </c>
      <c r="H157" s="7">
        <v>1054.8720000000001</v>
      </c>
      <c r="I157" s="12">
        <v>45206</v>
      </c>
      <c r="J157" s="12" t="str">
        <f t="shared" si="2"/>
        <v>2023</v>
      </c>
      <c r="K157" s="18" t="s">
        <v>647</v>
      </c>
      <c r="L157" s="18" t="s">
        <v>651</v>
      </c>
    </row>
    <row r="158" spans="1:12" x14ac:dyDescent="0.25">
      <c r="A158" t="s">
        <v>167</v>
      </c>
      <c r="B158" t="s">
        <v>466</v>
      </c>
      <c r="C158" s="18" t="s">
        <v>605</v>
      </c>
      <c r="D158" s="18" t="s">
        <v>640</v>
      </c>
      <c r="E158" s="4">
        <v>4</v>
      </c>
      <c r="F158">
        <v>120.83</v>
      </c>
      <c r="G158" s="4">
        <v>0</v>
      </c>
      <c r="H158" s="7">
        <v>483.32</v>
      </c>
      <c r="I158" s="12">
        <v>44988</v>
      </c>
      <c r="J158" s="12" t="str">
        <f t="shared" si="2"/>
        <v>2023</v>
      </c>
      <c r="K158" s="18" t="s">
        <v>650</v>
      </c>
      <c r="L158" s="18" t="s">
        <v>651</v>
      </c>
    </row>
    <row r="159" spans="1:12" x14ac:dyDescent="0.25">
      <c r="A159" t="s">
        <v>168</v>
      </c>
      <c r="B159" t="s">
        <v>467</v>
      </c>
      <c r="C159" s="18" t="s">
        <v>610</v>
      </c>
      <c r="D159" s="18" t="s">
        <v>643</v>
      </c>
      <c r="E159" s="4">
        <v>2</v>
      </c>
      <c r="F159">
        <v>286.01</v>
      </c>
      <c r="G159" s="4">
        <v>0.13</v>
      </c>
      <c r="H159" s="7">
        <v>497.6574</v>
      </c>
      <c r="I159" s="12">
        <v>45454</v>
      </c>
      <c r="J159" s="12" t="str">
        <f t="shared" si="2"/>
        <v>2024</v>
      </c>
      <c r="K159" s="18" t="s">
        <v>648</v>
      </c>
      <c r="L159" s="18" t="s">
        <v>655</v>
      </c>
    </row>
    <row r="160" spans="1:12" x14ac:dyDescent="0.25">
      <c r="A160" t="s">
        <v>169</v>
      </c>
      <c r="B160" t="s">
        <v>468</v>
      </c>
      <c r="C160" s="18" t="s">
        <v>604</v>
      </c>
      <c r="D160" s="18" t="s">
        <v>633</v>
      </c>
      <c r="E160" s="4">
        <v>4</v>
      </c>
      <c r="F160">
        <v>164.11</v>
      </c>
      <c r="G160" s="4">
        <v>7.0000000000000007E-2</v>
      </c>
      <c r="H160" s="7">
        <v>610.48919999999998</v>
      </c>
      <c r="I160" s="12">
        <v>45054</v>
      </c>
      <c r="J160" s="12" t="str">
        <f t="shared" si="2"/>
        <v>2023</v>
      </c>
      <c r="K160" s="18" t="s">
        <v>647</v>
      </c>
      <c r="L160" s="18" t="s">
        <v>652</v>
      </c>
    </row>
    <row r="161" spans="1:12" x14ac:dyDescent="0.25">
      <c r="A161" t="s">
        <v>170</v>
      </c>
      <c r="B161" t="s">
        <v>469</v>
      </c>
      <c r="C161" s="18" t="s">
        <v>610</v>
      </c>
      <c r="D161" s="18" t="s">
        <v>621</v>
      </c>
      <c r="E161" s="4">
        <v>2</v>
      </c>
      <c r="F161">
        <v>128.13</v>
      </c>
      <c r="G161" s="4">
        <v>0.16</v>
      </c>
      <c r="H161" s="7">
        <v>215.25839999999999</v>
      </c>
      <c r="I161" s="12">
        <v>45111</v>
      </c>
      <c r="J161" s="12" t="str">
        <f t="shared" si="2"/>
        <v>2023</v>
      </c>
      <c r="K161" s="18" t="s">
        <v>650</v>
      </c>
      <c r="L161" s="18" t="s">
        <v>651</v>
      </c>
    </row>
    <row r="162" spans="1:12" x14ac:dyDescent="0.25">
      <c r="A162" t="s">
        <v>171</v>
      </c>
      <c r="B162" t="s">
        <v>470</v>
      </c>
      <c r="C162" s="18" t="s">
        <v>604</v>
      </c>
      <c r="D162" s="18" t="s">
        <v>612</v>
      </c>
      <c r="E162" s="4">
        <v>1</v>
      </c>
      <c r="F162">
        <v>16.760000000000002</v>
      </c>
      <c r="G162" s="4">
        <v>0.01</v>
      </c>
      <c r="H162" s="7">
        <v>56.26760995066148</v>
      </c>
      <c r="I162" s="12">
        <v>45186</v>
      </c>
      <c r="J162" s="12" t="str">
        <f t="shared" si="2"/>
        <v>2023</v>
      </c>
      <c r="K162" s="18" t="s">
        <v>646</v>
      </c>
      <c r="L162" s="18" t="s">
        <v>651</v>
      </c>
    </row>
    <row r="163" spans="1:12" x14ac:dyDescent="0.25">
      <c r="A163" t="s">
        <v>172</v>
      </c>
      <c r="B163" t="s">
        <v>471</v>
      </c>
      <c r="C163" s="18" t="s">
        <v>604</v>
      </c>
      <c r="D163" s="18" t="s">
        <v>614</v>
      </c>
      <c r="E163" s="4">
        <v>1</v>
      </c>
      <c r="F163">
        <v>86.13</v>
      </c>
      <c r="G163" s="4">
        <v>0.12</v>
      </c>
      <c r="H163" s="7">
        <v>75.794399999999996</v>
      </c>
      <c r="I163" s="12">
        <v>45788</v>
      </c>
      <c r="J163" s="12" t="str">
        <f t="shared" si="2"/>
        <v>2025</v>
      </c>
      <c r="K163" s="18" t="s">
        <v>649</v>
      </c>
      <c r="L163" s="18" t="s">
        <v>651</v>
      </c>
    </row>
    <row r="164" spans="1:12" x14ac:dyDescent="0.25">
      <c r="A164" t="s">
        <v>173</v>
      </c>
      <c r="B164" t="s">
        <v>472</v>
      </c>
      <c r="C164" s="18" t="s">
        <v>608</v>
      </c>
      <c r="D164" s="18" t="s">
        <v>632</v>
      </c>
      <c r="E164" s="4">
        <v>5</v>
      </c>
      <c r="F164">
        <v>373.43</v>
      </c>
      <c r="G164" s="4">
        <v>0.04</v>
      </c>
      <c r="H164" s="7">
        <v>1792.4639999999999</v>
      </c>
      <c r="I164" s="12">
        <v>45700</v>
      </c>
      <c r="J164" s="12" t="str">
        <f t="shared" si="2"/>
        <v>2025</v>
      </c>
      <c r="K164" s="18" t="s">
        <v>650</v>
      </c>
      <c r="L164" s="18" t="s">
        <v>651</v>
      </c>
    </row>
    <row r="165" spans="1:12" x14ac:dyDescent="0.25">
      <c r="A165" t="s">
        <v>174</v>
      </c>
      <c r="B165" t="s">
        <v>473</v>
      </c>
      <c r="C165" s="18" t="s">
        <v>604</v>
      </c>
      <c r="D165" s="18" t="s">
        <v>614</v>
      </c>
      <c r="E165" s="4">
        <v>1</v>
      </c>
      <c r="F165">
        <v>220.37</v>
      </c>
      <c r="G165" s="4">
        <v>0.08</v>
      </c>
      <c r="H165" s="7">
        <v>202.74039999999999</v>
      </c>
      <c r="I165" s="12">
        <v>45454</v>
      </c>
      <c r="J165" s="12" t="str">
        <f t="shared" si="2"/>
        <v>2024</v>
      </c>
      <c r="K165" s="18" t="s">
        <v>648</v>
      </c>
      <c r="L165" s="18" t="s">
        <v>651</v>
      </c>
    </row>
    <row r="166" spans="1:12" x14ac:dyDescent="0.25">
      <c r="A166" t="s">
        <v>175</v>
      </c>
      <c r="B166" t="s">
        <v>474</v>
      </c>
      <c r="C166" s="18" t="s">
        <v>610</v>
      </c>
      <c r="D166" s="18" t="s">
        <v>621</v>
      </c>
      <c r="E166" s="4">
        <v>1</v>
      </c>
      <c r="F166">
        <v>11.26</v>
      </c>
      <c r="G166" s="4">
        <v>7.0000000000000007E-2</v>
      </c>
      <c r="H166" s="7">
        <v>10.4718</v>
      </c>
      <c r="I166" s="12">
        <v>45389</v>
      </c>
      <c r="J166" s="12" t="str">
        <f t="shared" si="2"/>
        <v>2024</v>
      </c>
      <c r="K166" s="18" t="s">
        <v>650</v>
      </c>
      <c r="L166" s="18" t="s">
        <v>653</v>
      </c>
    </row>
    <row r="167" spans="1:12" x14ac:dyDescent="0.25">
      <c r="A167" t="s">
        <v>176</v>
      </c>
      <c r="B167" t="s">
        <v>475</v>
      </c>
      <c r="C167" s="18" t="s">
        <v>604</v>
      </c>
      <c r="D167" s="18" t="s">
        <v>612</v>
      </c>
      <c r="E167" s="4">
        <v>3</v>
      </c>
      <c r="F167">
        <v>290.05</v>
      </c>
      <c r="G167" s="4">
        <v>0.15</v>
      </c>
      <c r="H167" s="7">
        <v>739.62750000000005</v>
      </c>
      <c r="I167" s="12">
        <v>44961</v>
      </c>
      <c r="J167" s="12" t="str">
        <f t="shared" si="2"/>
        <v>2023</v>
      </c>
      <c r="K167" s="18" t="s">
        <v>646</v>
      </c>
      <c r="L167" s="18" t="s">
        <v>653</v>
      </c>
    </row>
    <row r="168" spans="1:12" x14ac:dyDescent="0.25">
      <c r="A168" t="s">
        <v>177</v>
      </c>
      <c r="B168" t="s">
        <v>476</v>
      </c>
      <c r="C168" s="18" t="s">
        <v>606</v>
      </c>
      <c r="D168" s="18" t="s">
        <v>624</v>
      </c>
      <c r="E168" s="4">
        <v>5</v>
      </c>
      <c r="F168">
        <v>243.88561461794012</v>
      </c>
      <c r="G168" s="4">
        <v>0.22</v>
      </c>
      <c r="H168" s="7">
        <v>951.1538970099665</v>
      </c>
      <c r="I168" s="12">
        <v>45051</v>
      </c>
      <c r="J168" s="12" t="str">
        <f t="shared" si="2"/>
        <v>2023</v>
      </c>
      <c r="K168" s="18" t="s">
        <v>649</v>
      </c>
      <c r="L168" s="18" t="s">
        <v>655</v>
      </c>
    </row>
    <row r="169" spans="1:12" x14ac:dyDescent="0.25">
      <c r="A169" t="s">
        <v>178</v>
      </c>
      <c r="B169" t="s">
        <v>477</v>
      </c>
      <c r="C169" s="18" t="s">
        <v>607</v>
      </c>
      <c r="D169" s="18" t="s">
        <v>623</v>
      </c>
      <c r="E169" s="4">
        <v>4</v>
      </c>
      <c r="F169">
        <v>179.75</v>
      </c>
      <c r="G169" s="4">
        <v>0.28999999999999998</v>
      </c>
      <c r="H169" s="7">
        <v>543.69788865862381</v>
      </c>
      <c r="I169" s="12">
        <v>45113</v>
      </c>
      <c r="J169" s="12" t="str">
        <f t="shared" si="2"/>
        <v>2023</v>
      </c>
      <c r="K169" s="18" t="s">
        <v>650</v>
      </c>
      <c r="L169" s="18" t="s">
        <v>655</v>
      </c>
    </row>
    <row r="170" spans="1:12" x14ac:dyDescent="0.25">
      <c r="A170" t="s">
        <v>179</v>
      </c>
      <c r="B170" t="s">
        <v>478</v>
      </c>
      <c r="C170" s="18" t="s">
        <v>604</v>
      </c>
      <c r="D170" s="18" t="s">
        <v>614</v>
      </c>
      <c r="E170" s="4">
        <v>2</v>
      </c>
      <c r="F170">
        <v>192.52</v>
      </c>
      <c r="G170" s="4">
        <v>0.17</v>
      </c>
      <c r="H170" s="7">
        <v>319.58319999999998</v>
      </c>
      <c r="I170" s="12">
        <v>45607</v>
      </c>
      <c r="J170" s="12" t="str">
        <f t="shared" si="2"/>
        <v>2024</v>
      </c>
      <c r="K170" s="18" t="s">
        <v>647</v>
      </c>
      <c r="L170" s="18" t="s">
        <v>655</v>
      </c>
    </row>
    <row r="171" spans="1:12" x14ac:dyDescent="0.25">
      <c r="A171" t="s">
        <v>180</v>
      </c>
      <c r="B171" t="s">
        <v>479</v>
      </c>
      <c r="C171" s="18" t="s">
        <v>610</v>
      </c>
      <c r="D171" s="18" t="s">
        <v>643</v>
      </c>
      <c r="E171" s="4">
        <v>4</v>
      </c>
      <c r="F171">
        <v>143.26</v>
      </c>
      <c r="G171" s="4">
        <v>0.28000000000000003</v>
      </c>
      <c r="H171" s="7">
        <v>412.58879999999988</v>
      </c>
      <c r="I171" s="12">
        <v>45726</v>
      </c>
      <c r="J171" s="12" t="str">
        <f t="shared" si="2"/>
        <v>2025</v>
      </c>
      <c r="K171" s="18" t="s">
        <v>650</v>
      </c>
      <c r="L171" s="18" t="s">
        <v>653</v>
      </c>
    </row>
    <row r="172" spans="1:12" x14ac:dyDescent="0.25">
      <c r="A172" t="s">
        <v>181</v>
      </c>
      <c r="B172" t="s">
        <v>480</v>
      </c>
      <c r="C172" s="18" t="s">
        <v>610</v>
      </c>
      <c r="D172" s="18" t="s">
        <v>637</v>
      </c>
      <c r="E172" s="4">
        <v>4</v>
      </c>
      <c r="F172">
        <v>54.31</v>
      </c>
      <c r="G172" s="4">
        <v>0.25</v>
      </c>
      <c r="H172" s="7">
        <v>162.93</v>
      </c>
      <c r="I172" s="12">
        <v>45536</v>
      </c>
      <c r="J172" s="12" t="str">
        <f t="shared" si="2"/>
        <v>2024</v>
      </c>
      <c r="K172" s="18" t="s">
        <v>649</v>
      </c>
      <c r="L172" s="18" t="s">
        <v>654</v>
      </c>
    </row>
    <row r="173" spans="1:12" x14ac:dyDescent="0.25">
      <c r="A173" t="s">
        <v>182</v>
      </c>
      <c r="B173" t="s">
        <v>481</v>
      </c>
      <c r="C173" s="18" t="s">
        <v>605</v>
      </c>
      <c r="D173" s="18" t="s">
        <v>639</v>
      </c>
      <c r="E173" s="4">
        <v>2</v>
      </c>
      <c r="F173">
        <v>428.75</v>
      </c>
      <c r="G173" s="4">
        <v>0.03</v>
      </c>
      <c r="H173" s="7">
        <v>831.77499999999998</v>
      </c>
      <c r="I173" s="12">
        <v>45294</v>
      </c>
      <c r="J173" s="12" t="str">
        <f t="shared" si="2"/>
        <v>2024</v>
      </c>
      <c r="K173" s="18" t="s">
        <v>647</v>
      </c>
      <c r="L173" s="18" t="s">
        <v>653</v>
      </c>
    </row>
    <row r="174" spans="1:12" x14ac:dyDescent="0.25">
      <c r="A174" t="s">
        <v>183</v>
      </c>
      <c r="B174" t="s">
        <v>479</v>
      </c>
      <c r="C174" s="18" t="s">
        <v>608</v>
      </c>
      <c r="D174" s="18" t="s">
        <v>656</v>
      </c>
      <c r="E174" s="4">
        <v>1</v>
      </c>
      <c r="F174">
        <v>46.74</v>
      </c>
      <c r="G174" s="4">
        <v>0.06</v>
      </c>
      <c r="H174" s="7">
        <v>43.935600000000001</v>
      </c>
      <c r="I174" s="12">
        <v>45110</v>
      </c>
      <c r="J174" s="12" t="str">
        <f t="shared" si="2"/>
        <v>2023</v>
      </c>
      <c r="K174" s="18" t="s">
        <v>649</v>
      </c>
      <c r="L174" s="18" t="s">
        <v>653</v>
      </c>
    </row>
    <row r="175" spans="1:12" x14ac:dyDescent="0.25">
      <c r="A175" t="s">
        <v>184</v>
      </c>
      <c r="B175" t="s">
        <v>482</v>
      </c>
      <c r="C175" s="18" t="s">
        <v>608</v>
      </c>
      <c r="D175" s="18" t="s">
        <v>622</v>
      </c>
      <c r="E175" s="4">
        <v>4</v>
      </c>
      <c r="F175">
        <v>115.21</v>
      </c>
      <c r="G175" s="4">
        <v>0.08</v>
      </c>
      <c r="H175" s="7">
        <v>423.97280000000001</v>
      </c>
      <c r="I175" s="12">
        <v>45446</v>
      </c>
      <c r="J175" s="12" t="str">
        <f t="shared" si="2"/>
        <v>2024</v>
      </c>
      <c r="K175" s="18" t="s">
        <v>646</v>
      </c>
      <c r="L175" s="18" t="s">
        <v>655</v>
      </c>
    </row>
    <row r="176" spans="1:12" x14ac:dyDescent="0.25">
      <c r="A176" t="s">
        <v>185</v>
      </c>
      <c r="B176" t="s">
        <v>483</v>
      </c>
      <c r="C176" s="18" t="s">
        <v>607</v>
      </c>
      <c r="D176" s="18" t="s">
        <v>619</v>
      </c>
      <c r="E176" s="4">
        <v>3</v>
      </c>
      <c r="F176">
        <v>107.73</v>
      </c>
      <c r="G176" s="4">
        <v>0.19</v>
      </c>
      <c r="H176" s="7">
        <v>261.78390000000002</v>
      </c>
      <c r="I176" s="12">
        <v>45200</v>
      </c>
      <c r="J176" s="12" t="str">
        <f t="shared" si="2"/>
        <v>2023</v>
      </c>
      <c r="K176" s="18" t="s">
        <v>649</v>
      </c>
      <c r="L176" s="18" t="s">
        <v>651</v>
      </c>
    </row>
    <row r="177" spans="1:12" x14ac:dyDescent="0.25">
      <c r="A177" t="s">
        <v>186</v>
      </c>
      <c r="B177" t="s">
        <v>484</v>
      </c>
      <c r="C177" s="18" t="s">
        <v>610</v>
      </c>
      <c r="D177" s="18" t="s">
        <v>637</v>
      </c>
      <c r="E177" s="4">
        <v>5</v>
      </c>
      <c r="F177">
        <v>243.88561461794012</v>
      </c>
      <c r="G177" s="4">
        <v>0.02</v>
      </c>
      <c r="H177" s="7">
        <v>1195.0395116279064</v>
      </c>
      <c r="I177" s="12">
        <v>45168</v>
      </c>
      <c r="J177" s="12" t="str">
        <f t="shared" si="2"/>
        <v>2023</v>
      </c>
      <c r="K177" s="18" t="s">
        <v>646</v>
      </c>
      <c r="L177" s="18" t="s">
        <v>654</v>
      </c>
    </row>
    <row r="178" spans="1:12" x14ac:dyDescent="0.25">
      <c r="A178" t="s">
        <v>187</v>
      </c>
      <c r="B178" t="s">
        <v>485</v>
      </c>
      <c r="C178" s="18" t="s">
        <v>606</v>
      </c>
      <c r="D178" s="18" t="s">
        <v>618</v>
      </c>
      <c r="E178" s="4">
        <v>2</v>
      </c>
      <c r="F178">
        <v>421.22</v>
      </c>
      <c r="G178" s="4">
        <v>0.05</v>
      </c>
      <c r="H178" s="7">
        <v>800.31799999999998</v>
      </c>
      <c r="I178" s="12">
        <v>45284</v>
      </c>
      <c r="J178" s="12" t="str">
        <f t="shared" si="2"/>
        <v>2023</v>
      </c>
      <c r="K178" s="18" t="s">
        <v>646</v>
      </c>
      <c r="L178" s="18" t="s">
        <v>653</v>
      </c>
    </row>
    <row r="179" spans="1:12" x14ac:dyDescent="0.25">
      <c r="A179" t="s">
        <v>188</v>
      </c>
      <c r="B179" t="s">
        <v>486</v>
      </c>
      <c r="C179" s="18" t="s">
        <v>604</v>
      </c>
      <c r="D179" s="18" t="s">
        <v>612</v>
      </c>
      <c r="E179" s="4">
        <v>2</v>
      </c>
      <c r="F179">
        <v>37.520000000000003</v>
      </c>
      <c r="G179" s="4">
        <v>0.01</v>
      </c>
      <c r="H179" s="7">
        <v>74.289600000000007</v>
      </c>
      <c r="I179" s="12">
        <v>45479</v>
      </c>
      <c r="J179" s="12" t="str">
        <f t="shared" si="2"/>
        <v>2024</v>
      </c>
      <c r="K179" s="18" t="s">
        <v>650</v>
      </c>
      <c r="L179" s="18" t="s">
        <v>652</v>
      </c>
    </row>
    <row r="180" spans="1:12" x14ac:dyDescent="0.25">
      <c r="A180" t="s">
        <v>189</v>
      </c>
      <c r="B180" t="s">
        <v>487</v>
      </c>
      <c r="C180" s="18" t="s">
        <v>604</v>
      </c>
      <c r="D180" s="18" t="s">
        <v>623</v>
      </c>
      <c r="E180" s="4">
        <v>5</v>
      </c>
      <c r="F180">
        <v>193.06</v>
      </c>
      <c r="G180" s="4">
        <v>0.18</v>
      </c>
      <c r="H180" s="7">
        <v>791.54600000000005</v>
      </c>
      <c r="I180" s="12">
        <v>45357</v>
      </c>
      <c r="J180" s="12" t="str">
        <f t="shared" si="2"/>
        <v>2024</v>
      </c>
      <c r="K180" s="18" t="s">
        <v>650</v>
      </c>
      <c r="L180" s="18" t="s">
        <v>651</v>
      </c>
    </row>
    <row r="181" spans="1:12" x14ac:dyDescent="0.25">
      <c r="A181" t="s">
        <v>190</v>
      </c>
      <c r="B181" t="s">
        <v>488</v>
      </c>
      <c r="C181" s="18" t="s">
        <v>607</v>
      </c>
      <c r="D181" s="18" t="s">
        <v>642</v>
      </c>
      <c r="E181" s="4">
        <v>2</v>
      </c>
      <c r="F181">
        <v>369.66</v>
      </c>
      <c r="G181" s="4">
        <v>0.04</v>
      </c>
      <c r="H181" s="7">
        <v>709.74720000000002</v>
      </c>
      <c r="I181" s="12">
        <v>45700</v>
      </c>
      <c r="J181" s="12" t="str">
        <f t="shared" si="2"/>
        <v>2025</v>
      </c>
      <c r="K181" s="18" t="s">
        <v>646</v>
      </c>
      <c r="L181" s="18" t="s">
        <v>653</v>
      </c>
    </row>
    <row r="182" spans="1:12" x14ac:dyDescent="0.25">
      <c r="A182" t="s">
        <v>191</v>
      </c>
      <c r="B182" t="s">
        <v>489</v>
      </c>
      <c r="C182" s="18" t="s">
        <v>605</v>
      </c>
      <c r="D182" s="18" t="s">
        <v>644</v>
      </c>
      <c r="E182" s="4">
        <v>1</v>
      </c>
      <c r="F182">
        <v>166.56</v>
      </c>
      <c r="G182" s="4">
        <v>0.25</v>
      </c>
      <c r="H182" s="7">
        <v>124.92</v>
      </c>
      <c r="I182" s="12">
        <v>45541</v>
      </c>
      <c r="J182" s="12" t="str">
        <f t="shared" si="2"/>
        <v>2024</v>
      </c>
      <c r="K182" s="18" t="s">
        <v>647</v>
      </c>
      <c r="L182" s="18" t="s">
        <v>652</v>
      </c>
    </row>
    <row r="183" spans="1:12" x14ac:dyDescent="0.25">
      <c r="A183" t="s">
        <v>192</v>
      </c>
      <c r="B183" t="s">
        <v>490</v>
      </c>
      <c r="C183" s="18" t="s">
        <v>605</v>
      </c>
      <c r="D183" s="18" t="s">
        <v>640</v>
      </c>
      <c r="E183" s="4">
        <v>3</v>
      </c>
      <c r="F183">
        <v>443.43</v>
      </c>
      <c r="G183" s="4">
        <v>0.26</v>
      </c>
      <c r="H183" s="7">
        <v>984.41459999999995</v>
      </c>
      <c r="I183" s="12">
        <v>45783</v>
      </c>
      <c r="J183" s="12" t="str">
        <f t="shared" si="2"/>
        <v>2025</v>
      </c>
      <c r="K183" s="18" t="s">
        <v>647</v>
      </c>
      <c r="L183" s="18" t="s">
        <v>651</v>
      </c>
    </row>
    <row r="184" spans="1:12" x14ac:dyDescent="0.25">
      <c r="A184" t="s">
        <v>193</v>
      </c>
      <c r="B184" t="s">
        <v>491</v>
      </c>
      <c r="C184" s="18" t="s">
        <v>605</v>
      </c>
      <c r="D184" s="18" t="s">
        <v>640</v>
      </c>
      <c r="E184" s="4">
        <v>3</v>
      </c>
      <c r="F184">
        <v>46.36</v>
      </c>
      <c r="G184" s="4">
        <v>0.27</v>
      </c>
      <c r="H184" s="7">
        <v>101.5284</v>
      </c>
      <c r="I184" s="12">
        <v>45140</v>
      </c>
      <c r="J184" s="12" t="str">
        <f t="shared" si="2"/>
        <v>2023</v>
      </c>
      <c r="K184" s="18" t="s">
        <v>649</v>
      </c>
      <c r="L184" s="18" t="s">
        <v>655</v>
      </c>
    </row>
    <row r="185" spans="1:12" x14ac:dyDescent="0.25">
      <c r="A185" t="s">
        <v>194</v>
      </c>
      <c r="B185" t="s">
        <v>492</v>
      </c>
      <c r="C185" s="18" t="s">
        <v>609</v>
      </c>
      <c r="D185" s="18" t="s">
        <v>625</v>
      </c>
      <c r="E185" s="4">
        <v>4</v>
      </c>
      <c r="F185">
        <v>172.24</v>
      </c>
      <c r="G185" s="4">
        <v>0.12</v>
      </c>
      <c r="H185" s="7">
        <v>606.28480000000002</v>
      </c>
      <c r="I185" s="12">
        <v>45203</v>
      </c>
      <c r="J185" s="12" t="str">
        <f t="shared" si="2"/>
        <v>2023</v>
      </c>
      <c r="K185" s="18" t="s">
        <v>646</v>
      </c>
      <c r="L185" s="18" t="s">
        <v>652</v>
      </c>
    </row>
    <row r="186" spans="1:12" x14ac:dyDescent="0.25">
      <c r="A186" t="s">
        <v>195</v>
      </c>
      <c r="B186" t="s">
        <v>493</v>
      </c>
      <c r="C186" s="18" t="s">
        <v>610</v>
      </c>
      <c r="D186" s="18" t="s">
        <v>621</v>
      </c>
      <c r="E186" s="4">
        <v>3</v>
      </c>
      <c r="F186">
        <v>22.61</v>
      </c>
      <c r="G186" s="4">
        <v>0.19</v>
      </c>
      <c r="H186" s="7">
        <v>54.942300000000003</v>
      </c>
      <c r="I186" s="12">
        <v>45846</v>
      </c>
      <c r="J186" s="12" t="str">
        <f t="shared" si="2"/>
        <v>2025</v>
      </c>
      <c r="K186" s="18" t="s">
        <v>649</v>
      </c>
      <c r="L186" s="18" t="s">
        <v>651</v>
      </c>
    </row>
    <row r="187" spans="1:12" x14ac:dyDescent="0.25">
      <c r="A187" t="s">
        <v>196</v>
      </c>
      <c r="B187" t="s">
        <v>494</v>
      </c>
      <c r="C187" s="18" t="s">
        <v>607</v>
      </c>
      <c r="D187" s="18" t="s">
        <v>620</v>
      </c>
      <c r="E187" s="4">
        <v>4</v>
      </c>
      <c r="F187">
        <v>31.86</v>
      </c>
      <c r="G187" s="4">
        <v>0.14000000000000001</v>
      </c>
      <c r="H187" s="7">
        <v>109.5984</v>
      </c>
      <c r="I187" s="12">
        <v>45448</v>
      </c>
      <c r="J187" s="12" t="str">
        <f t="shared" si="2"/>
        <v>2024</v>
      </c>
      <c r="K187" s="18" t="s">
        <v>650</v>
      </c>
      <c r="L187" s="18" t="s">
        <v>653</v>
      </c>
    </row>
    <row r="188" spans="1:12" x14ac:dyDescent="0.25">
      <c r="A188" t="s">
        <v>197</v>
      </c>
      <c r="B188" t="s">
        <v>495</v>
      </c>
      <c r="C188" s="18" t="s">
        <v>606</v>
      </c>
      <c r="D188" s="18" t="s">
        <v>613</v>
      </c>
      <c r="E188" s="4">
        <v>1</v>
      </c>
      <c r="F188">
        <v>215.13</v>
      </c>
      <c r="G188" s="4">
        <v>0.17</v>
      </c>
      <c r="H188" s="7">
        <v>178.55789999999999</v>
      </c>
      <c r="I188" s="12">
        <v>44991</v>
      </c>
      <c r="J188" s="12" t="str">
        <f t="shared" si="2"/>
        <v>2023</v>
      </c>
      <c r="K188" s="18" t="s">
        <v>648</v>
      </c>
      <c r="L188" s="18" t="s">
        <v>653</v>
      </c>
    </row>
    <row r="189" spans="1:12" x14ac:dyDescent="0.25">
      <c r="A189" t="s">
        <v>198</v>
      </c>
      <c r="B189" t="s">
        <v>496</v>
      </c>
      <c r="C189" s="18" t="s">
        <v>606</v>
      </c>
      <c r="D189" s="18" t="s">
        <v>626</v>
      </c>
      <c r="E189" s="4">
        <v>2</v>
      </c>
      <c r="F189">
        <v>71.83</v>
      </c>
      <c r="G189" s="4">
        <v>0.02</v>
      </c>
      <c r="H189" s="7">
        <v>140.7868</v>
      </c>
      <c r="I189" s="12">
        <v>45326</v>
      </c>
      <c r="J189" s="12" t="str">
        <f t="shared" si="2"/>
        <v>2024</v>
      </c>
      <c r="K189" s="18" t="s">
        <v>646</v>
      </c>
      <c r="L189" s="18" t="s">
        <v>652</v>
      </c>
    </row>
    <row r="190" spans="1:12" x14ac:dyDescent="0.25">
      <c r="A190" t="s">
        <v>199</v>
      </c>
      <c r="B190" t="s">
        <v>497</v>
      </c>
      <c r="C190" s="18" t="s">
        <v>607</v>
      </c>
      <c r="D190" s="18" t="s">
        <v>636</v>
      </c>
      <c r="E190" s="4">
        <v>3</v>
      </c>
      <c r="F190">
        <v>16.059999999999999</v>
      </c>
      <c r="G190" s="4">
        <v>0.03</v>
      </c>
      <c r="H190" s="7">
        <v>46.734599999999993</v>
      </c>
      <c r="I190" s="12">
        <v>45453</v>
      </c>
      <c r="J190" s="12" t="str">
        <f t="shared" si="2"/>
        <v>2024</v>
      </c>
      <c r="K190" s="18" t="s">
        <v>647</v>
      </c>
      <c r="L190" s="18" t="s">
        <v>655</v>
      </c>
    </row>
    <row r="191" spans="1:12" x14ac:dyDescent="0.25">
      <c r="A191" t="s">
        <v>200</v>
      </c>
      <c r="B191" t="s">
        <v>498</v>
      </c>
      <c r="C191" s="18" t="s">
        <v>608</v>
      </c>
      <c r="D191" s="18" t="s">
        <v>635</v>
      </c>
      <c r="E191" s="4">
        <v>4</v>
      </c>
      <c r="F191">
        <v>144.94999999999999</v>
      </c>
      <c r="G191" s="4">
        <v>0.19</v>
      </c>
      <c r="H191" s="7">
        <v>469.63799999999998</v>
      </c>
      <c r="I191" s="12">
        <v>45664</v>
      </c>
      <c r="J191" s="12" t="str">
        <f t="shared" si="2"/>
        <v>2025</v>
      </c>
      <c r="K191" s="18" t="s">
        <v>646</v>
      </c>
      <c r="L191" s="18" t="s">
        <v>652</v>
      </c>
    </row>
    <row r="192" spans="1:12" x14ac:dyDescent="0.25">
      <c r="A192" t="s">
        <v>201</v>
      </c>
      <c r="B192" t="s">
        <v>499</v>
      </c>
      <c r="C192" s="18" t="s">
        <v>610</v>
      </c>
      <c r="D192" s="18" t="s">
        <v>621</v>
      </c>
      <c r="E192" s="4">
        <v>3</v>
      </c>
      <c r="F192">
        <v>250.89</v>
      </c>
      <c r="G192" s="4">
        <v>0.28999999999999998</v>
      </c>
      <c r="H192" s="7">
        <v>534.39569999999992</v>
      </c>
      <c r="I192" s="12">
        <v>44991</v>
      </c>
      <c r="J192" s="12" t="str">
        <f t="shared" si="2"/>
        <v>2023</v>
      </c>
      <c r="K192" s="18" t="s">
        <v>649</v>
      </c>
      <c r="L192" s="18" t="s">
        <v>652</v>
      </c>
    </row>
    <row r="193" spans="1:12" x14ac:dyDescent="0.25">
      <c r="A193" t="s">
        <v>202</v>
      </c>
      <c r="B193" t="s">
        <v>500</v>
      </c>
      <c r="C193" s="18" t="s">
        <v>604</v>
      </c>
      <c r="D193" s="18" t="s">
        <v>656</v>
      </c>
      <c r="E193" s="4">
        <v>5</v>
      </c>
      <c r="F193">
        <v>262.48</v>
      </c>
      <c r="G193" s="4">
        <v>0.02</v>
      </c>
      <c r="H193" s="7">
        <v>1286.152</v>
      </c>
      <c r="I193" s="12">
        <v>45695</v>
      </c>
      <c r="J193" s="12" t="str">
        <f t="shared" si="2"/>
        <v>2025</v>
      </c>
      <c r="K193" s="18" t="s">
        <v>646</v>
      </c>
      <c r="L193" s="18" t="s">
        <v>655</v>
      </c>
    </row>
    <row r="194" spans="1:12" x14ac:dyDescent="0.25">
      <c r="A194" t="s">
        <v>203</v>
      </c>
      <c r="B194" t="s">
        <v>501</v>
      </c>
      <c r="C194" s="18" t="s">
        <v>604</v>
      </c>
      <c r="D194" s="18" t="s">
        <v>633</v>
      </c>
      <c r="E194" s="4">
        <v>3</v>
      </c>
      <c r="F194">
        <v>413.52</v>
      </c>
      <c r="G194" s="4">
        <v>0.19</v>
      </c>
      <c r="H194" s="7">
        <v>1004.8536</v>
      </c>
      <c r="I194" s="12">
        <v>45383</v>
      </c>
      <c r="J194" s="12" t="str">
        <f t="shared" ref="J194:J257" si="3">TEXT(I194,"yyyy")</f>
        <v>2024</v>
      </c>
      <c r="K194" s="18" t="s">
        <v>649</v>
      </c>
      <c r="L194" s="18" t="s">
        <v>651</v>
      </c>
    </row>
    <row r="195" spans="1:12" x14ac:dyDescent="0.25">
      <c r="A195" t="s">
        <v>204</v>
      </c>
      <c r="B195" t="s">
        <v>502</v>
      </c>
      <c r="C195" s="18" t="s">
        <v>610</v>
      </c>
      <c r="D195" s="18" t="s">
        <v>643</v>
      </c>
      <c r="E195" s="4">
        <v>3</v>
      </c>
      <c r="F195">
        <v>199.42</v>
      </c>
      <c r="G195" s="4">
        <v>0.26</v>
      </c>
      <c r="H195" s="7">
        <v>442.7124</v>
      </c>
      <c r="I195" s="12">
        <v>45508</v>
      </c>
      <c r="J195" s="12" t="str">
        <f t="shared" si="3"/>
        <v>2024</v>
      </c>
      <c r="K195" s="18" t="s">
        <v>650</v>
      </c>
      <c r="L195" s="18" t="s">
        <v>654</v>
      </c>
    </row>
    <row r="196" spans="1:12" x14ac:dyDescent="0.25">
      <c r="A196" t="s">
        <v>205</v>
      </c>
      <c r="B196" t="s">
        <v>503</v>
      </c>
      <c r="C196" s="18" t="s">
        <v>606</v>
      </c>
      <c r="D196" s="18" t="s">
        <v>618</v>
      </c>
      <c r="E196" s="4">
        <v>2</v>
      </c>
      <c r="F196">
        <v>14.15</v>
      </c>
      <c r="G196" s="4">
        <v>0.18</v>
      </c>
      <c r="H196" s="7">
        <v>23.206</v>
      </c>
      <c r="I196" s="12">
        <v>45291</v>
      </c>
      <c r="J196" s="12" t="str">
        <f t="shared" si="3"/>
        <v>2023</v>
      </c>
      <c r="K196" s="18" t="s">
        <v>648</v>
      </c>
      <c r="L196" s="18" t="s">
        <v>651</v>
      </c>
    </row>
    <row r="197" spans="1:12" x14ac:dyDescent="0.25">
      <c r="A197" t="s">
        <v>206</v>
      </c>
      <c r="B197" t="s">
        <v>504</v>
      </c>
      <c r="C197" s="18" t="s">
        <v>609</v>
      </c>
      <c r="D197" s="18" t="s">
        <v>629</v>
      </c>
      <c r="E197" s="4">
        <v>4</v>
      </c>
      <c r="F197">
        <v>243.88561461794012</v>
      </c>
      <c r="G197" s="4">
        <v>0.17</v>
      </c>
      <c r="H197" s="7">
        <v>809.70024053156112</v>
      </c>
      <c r="I197" s="12">
        <v>45231</v>
      </c>
      <c r="J197" s="12" t="str">
        <f t="shared" si="3"/>
        <v>2023</v>
      </c>
      <c r="K197" s="18" t="s">
        <v>649</v>
      </c>
      <c r="L197" s="18" t="s">
        <v>653</v>
      </c>
    </row>
    <row r="198" spans="1:12" x14ac:dyDescent="0.25">
      <c r="A198" t="s">
        <v>207</v>
      </c>
      <c r="B198" t="s">
        <v>505</v>
      </c>
      <c r="C198" s="18" t="s">
        <v>606</v>
      </c>
      <c r="D198" s="18" t="s">
        <v>624</v>
      </c>
      <c r="E198" s="4">
        <v>3</v>
      </c>
      <c r="F198">
        <v>385.08</v>
      </c>
      <c r="G198" s="4">
        <v>0.24</v>
      </c>
      <c r="H198" s="7">
        <v>877.98239999999998</v>
      </c>
      <c r="I198" s="12">
        <v>45027</v>
      </c>
      <c r="J198" s="12" t="str">
        <f t="shared" si="3"/>
        <v>2023</v>
      </c>
      <c r="K198" s="18" t="s">
        <v>649</v>
      </c>
      <c r="L198" s="18" t="s">
        <v>654</v>
      </c>
    </row>
    <row r="199" spans="1:12" x14ac:dyDescent="0.25">
      <c r="A199" t="s">
        <v>208</v>
      </c>
      <c r="B199" t="s">
        <v>506</v>
      </c>
      <c r="C199" s="18" t="s">
        <v>608</v>
      </c>
      <c r="D199" s="18" t="s">
        <v>622</v>
      </c>
      <c r="E199" s="4">
        <v>1</v>
      </c>
      <c r="F199">
        <v>359.55</v>
      </c>
      <c r="G199" s="4">
        <v>0.27</v>
      </c>
      <c r="H199" s="7">
        <v>262.47149999999999</v>
      </c>
      <c r="I199" s="12">
        <v>45186</v>
      </c>
      <c r="J199" s="12" t="str">
        <f t="shared" si="3"/>
        <v>2023</v>
      </c>
      <c r="K199" s="18" t="s">
        <v>650</v>
      </c>
      <c r="L199" s="18" t="s">
        <v>655</v>
      </c>
    </row>
    <row r="200" spans="1:12" x14ac:dyDescent="0.25">
      <c r="A200" t="s">
        <v>209</v>
      </c>
      <c r="B200" t="s">
        <v>507</v>
      </c>
      <c r="C200" s="18" t="s">
        <v>609</v>
      </c>
      <c r="D200" s="18" t="s">
        <v>629</v>
      </c>
      <c r="E200" s="4">
        <v>2</v>
      </c>
      <c r="F200">
        <v>118.9</v>
      </c>
      <c r="G200" s="4">
        <v>0.22</v>
      </c>
      <c r="H200" s="7">
        <v>185.48400000000001</v>
      </c>
      <c r="I200" s="12">
        <v>45096</v>
      </c>
      <c r="J200" s="12" t="str">
        <f t="shared" si="3"/>
        <v>2023</v>
      </c>
      <c r="K200" s="18" t="s">
        <v>649</v>
      </c>
      <c r="L200" s="18" t="s">
        <v>655</v>
      </c>
    </row>
    <row r="201" spans="1:12" x14ac:dyDescent="0.25">
      <c r="A201" t="s">
        <v>210</v>
      </c>
      <c r="B201" t="s">
        <v>508</v>
      </c>
      <c r="C201" s="18" t="s">
        <v>609</v>
      </c>
      <c r="D201" s="18" t="s">
        <v>642</v>
      </c>
      <c r="E201" s="4">
        <v>1</v>
      </c>
      <c r="F201">
        <v>255.23</v>
      </c>
      <c r="G201" s="4">
        <v>0.16</v>
      </c>
      <c r="H201" s="7">
        <v>214.39320000000001</v>
      </c>
      <c r="I201" s="12">
        <v>45476</v>
      </c>
      <c r="J201" s="12" t="str">
        <f t="shared" si="3"/>
        <v>2024</v>
      </c>
      <c r="K201" s="18" t="s">
        <v>650</v>
      </c>
      <c r="L201" s="18" t="s">
        <v>652</v>
      </c>
    </row>
    <row r="202" spans="1:12" x14ac:dyDescent="0.25">
      <c r="A202" t="s">
        <v>211</v>
      </c>
      <c r="B202" t="s">
        <v>509</v>
      </c>
      <c r="C202" s="18" t="s">
        <v>606</v>
      </c>
      <c r="D202" s="18" t="s">
        <v>628</v>
      </c>
      <c r="E202" s="4">
        <v>4</v>
      </c>
      <c r="F202">
        <v>96.64</v>
      </c>
      <c r="G202" s="4">
        <v>0</v>
      </c>
      <c r="H202" s="7">
        <v>386.56</v>
      </c>
      <c r="I202" s="12">
        <v>45750</v>
      </c>
      <c r="J202" s="12" t="str">
        <f t="shared" si="3"/>
        <v>2025</v>
      </c>
      <c r="K202" s="18" t="s">
        <v>648</v>
      </c>
      <c r="L202" s="18" t="s">
        <v>653</v>
      </c>
    </row>
    <row r="203" spans="1:12" x14ac:dyDescent="0.25">
      <c r="A203" t="s">
        <v>212</v>
      </c>
      <c r="B203" t="s">
        <v>510</v>
      </c>
      <c r="C203" s="18" t="s">
        <v>608</v>
      </c>
      <c r="D203" s="18" t="s">
        <v>622</v>
      </c>
      <c r="E203" s="4">
        <v>5</v>
      </c>
      <c r="F203">
        <v>475.53</v>
      </c>
      <c r="G203" s="4">
        <v>0.23</v>
      </c>
      <c r="H203" s="7">
        <v>1830.7905000000001</v>
      </c>
      <c r="I203" s="12">
        <v>45200</v>
      </c>
      <c r="J203" s="12" t="str">
        <f t="shared" si="3"/>
        <v>2023</v>
      </c>
      <c r="K203" s="18" t="s">
        <v>650</v>
      </c>
      <c r="L203" s="18" t="s">
        <v>654</v>
      </c>
    </row>
    <row r="204" spans="1:12" x14ac:dyDescent="0.25">
      <c r="A204" t="s">
        <v>213</v>
      </c>
      <c r="B204" t="s">
        <v>511</v>
      </c>
      <c r="C204" s="18" t="s">
        <v>607</v>
      </c>
      <c r="D204" s="18" t="s">
        <v>642</v>
      </c>
      <c r="E204" s="4">
        <v>1</v>
      </c>
      <c r="F204">
        <v>152.51</v>
      </c>
      <c r="G204" s="4">
        <v>0.13</v>
      </c>
      <c r="H204" s="7">
        <v>132.68369999999999</v>
      </c>
      <c r="I204" s="12">
        <v>44995</v>
      </c>
      <c r="J204" s="12" t="str">
        <f t="shared" si="3"/>
        <v>2023</v>
      </c>
      <c r="K204" s="18" t="s">
        <v>648</v>
      </c>
      <c r="L204" s="18" t="s">
        <v>652</v>
      </c>
    </row>
    <row r="205" spans="1:12" x14ac:dyDescent="0.25">
      <c r="A205" t="s">
        <v>214</v>
      </c>
      <c r="B205" t="s">
        <v>512</v>
      </c>
      <c r="C205" s="18" t="s">
        <v>604</v>
      </c>
      <c r="D205" s="18" t="s">
        <v>625</v>
      </c>
      <c r="E205" s="4">
        <v>1</v>
      </c>
      <c r="F205">
        <v>358.44</v>
      </c>
      <c r="G205" s="4">
        <v>0.11</v>
      </c>
      <c r="H205" s="7">
        <v>319.01159999999999</v>
      </c>
      <c r="I205" s="12">
        <v>44936</v>
      </c>
      <c r="J205" s="12" t="str">
        <f t="shared" si="3"/>
        <v>2023</v>
      </c>
      <c r="K205" s="18" t="s">
        <v>646</v>
      </c>
      <c r="L205" s="18" t="s">
        <v>653</v>
      </c>
    </row>
    <row r="206" spans="1:12" x14ac:dyDescent="0.25">
      <c r="A206" t="s">
        <v>215</v>
      </c>
      <c r="B206" t="s">
        <v>513</v>
      </c>
      <c r="C206" s="18" t="s">
        <v>605</v>
      </c>
      <c r="D206" s="18" t="s">
        <v>622</v>
      </c>
      <c r="E206" s="4">
        <v>5</v>
      </c>
      <c r="F206">
        <v>85.03</v>
      </c>
      <c r="G206" s="4">
        <v>0.09</v>
      </c>
      <c r="H206" s="7">
        <v>386.88650000000001</v>
      </c>
      <c r="I206" s="12">
        <v>45266</v>
      </c>
      <c r="J206" s="12" t="str">
        <f t="shared" si="3"/>
        <v>2023</v>
      </c>
      <c r="K206" s="18" t="s">
        <v>646</v>
      </c>
      <c r="L206" s="18" t="s">
        <v>655</v>
      </c>
    </row>
    <row r="207" spans="1:12" x14ac:dyDescent="0.25">
      <c r="A207" t="s">
        <v>216</v>
      </c>
      <c r="B207" t="s">
        <v>514</v>
      </c>
      <c r="C207" s="18" t="s">
        <v>607</v>
      </c>
      <c r="D207" s="18" t="s">
        <v>656</v>
      </c>
      <c r="E207" s="4">
        <v>1</v>
      </c>
      <c r="F207">
        <v>107.88</v>
      </c>
      <c r="G207" s="4">
        <v>0.25</v>
      </c>
      <c r="H207" s="7">
        <v>80.91</v>
      </c>
      <c r="I207" s="12">
        <v>44992</v>
      </c>
      <c r="J207" s="12" t="str">
        <f t="shared" si="3"/>
        <v>2023</v>
      </c>
      <c r="K207" s="18" t="s">
        <v>649</v>
      </c>
      <c r="L207" s="18" t="s">
        <v>654</v>
      </c>
    </row>
    <row r="208" spans="1:12" x14ac:dyDescent="0.25">
      <c r="A208" t="s">
        <v>217</v>
      </c>
      <c r="B208" t="s">
        <v>515</v>
      </c>
      <c r="C208" s="18" t="s">
        <v>608</v>
      </c>
      <c r="D208" s="18" t="s">
        <v>635</v>
      </c>
      <c r="E208" s="4">
        <v>1</v>
      </c>
      <c r="F208">
        <v>419.26</v>
      </c>
      <c r="G208" s="4">
        <v>0.04</v>
      </c>
      <c r="H208" s="7">
        <v>428.56316200126832</v>
      </c>
      <c r="I208" s="12">
        <v>44978</v>
      </c>
      <c r="J208" s="12" t="str">
        <f t="shared" si="3"/>
        <v>2023</v>
      </c>
      <c r="K208" s="18" t="s">
        <v>650</v>
      </c>
      <c r="L208" s="18" t="s">
        <v>651</v>
      </c>
    </row>
    <row r="209" spans="1:12" x14ac:dyDescent="0.25">
      <c r="A209" t="s">
        <v>218</v>
      </c>
      <c r="B209" t="s">
        <v>516</v>
      </c>
      <c r="C209" s="18" t="s">
        <v>606</v>
      </c>
      <c r="D209" s="18" t="s">
        <v>633</v>
      </c>
      <c r="E209" s="4">
        <v>3</v>
      </c>
      <c r="F209">
        <v>66.790000000000006</v>
      </c>
      <c r="G209" s="4">
        <v>0</v>
      </c>
      <c r="H209" s="7">
        <v>200.37</v>
      </c>
      <c r="I209" s="12">
        <v>45758</v>
      </c>
      <c r="J209" s="12" t="str">
        <f t="shared" si="3"/>
        <v>2025</v>
      </c>
      <c r="K209" s="18" t="s">
        <v>649</v>
      </c>
      <c r="L209" s="18" t="s">
        <v>652</v>
      </c>
    </row>
    <row r="210" spans="1:12" x14ac:dyDescent="0.25">
      <c r="A210" t="s">
        <v>219</v>
      </c>
      <c r="B210" t="s">
        <v>517</v>
      </c>
      <c r="C210" s="18" t="s">
        <v>605</v>
      </c>
      <c r="D210" s="18" t="s">
        <v>639</v>
      </c>
      <c r="E210" s="4">
        <v>2</v>
      </c>
      <c r="F210">
        <v>481.53</v>
      </c>
      <c r="G210" s="4">
        <v>0.25</v>
      </c>
      <c r="H210" s="7">
        <v>722.29499999999996</v>
      </c>
      <c r="I210" s="12">
        <v>44966</v>
      </c>
      <c r="J210" s="12" t="str">
        <f t="shared" si="3"/>
        <v>2023</v>
      </c>
      <c r="K210" s="18" t="s">
        <v>650</v>
      </c>
      <c r="L210" s="18" t="s">
        <v>653</v>
      </c>
    </row>
    <row r="211" spans="1:12" x14ac:dyDescent="0.25">
      <c r="A211" t="s">
        <v>220</v>
      </c>
      <c r="B211" t="s">
        <v>518</v>
      </c>
      <c r="C211" s="18" t="s">
        <v>607</v>
      </c>
      <c r="D211" s="18" t="s">
        <v>619</v>
      </c>
      <c r="E211" s="4">
        <v>4</v>
      </c>
      <c r="F211">
        <v>391.79</v>
      </c>
      <c r="G211" s="4">
        <v>0.26</v>
      </c>
      <c r="H211" s="7">
        <v>1159.6984</v>
      </c>
      <c r="I211" s="12">
        <v>45141</v>
      </c>
      <c r="J211" s="12" t="str">
        <f t="shared" si="3"/>
        <v>2023</v>
      </c>
      <c r="K211" s="18" t="s">
        <v>648</v>
      </c>
      <c r="L211" s="18" t="s">
        <v>653</v>
      </c>
    </row>
    <row r="212" spans="1:12" x14ac:dyDescent="0.25">
      <c r="A212" t="s">
        <v>221</v>
      </c>
      <c r="B212" t="s">
        <v>519</v>
      </c>
      <c r="C212" s="18" t="s">
        <v>610</v>
      </c>
      <c r="D212" s="18" t="s">
        <v>621</v>
      </c>
      <c r="E212" s="4">
        <v>5</v>
      </c>
      <c r="F212">
        <v>338.22</v>
      </c>
      <c r="G212" s="4">
        <v>0.16</v>
      </c>
      <c r="H212" s="7">
        <v>1420.5239999999999</v>
      </c>
      <c r="I212" s="12">
        <v>45302</v>
      </c>
      <c r="J212" s="12" t="str">
        <f t="shared" si="3"/>
        <v>2024</v>
      </c>
      <c r="K212" s="18" t="s">
        <v>648</v>
      </c>
      <c r="L212" s="18" t="s">
        <v>654</v>
      </c>
    </row>
    <row r="213" spans="1:12" x14ac:dyDescent="0.25">
      <c r="A213" t="s">
        <v>222</v>
      </c>
      <c r="B213" t="s">
        <v>520</v>
      </c>
      <c r="C213" s="18" t="s">
        <v>606</v>
      </c>
      <c r="D213" s="18" t="s">
        <v>613</v>
      </c>
      <c r="E213" s="4">
        <v>5</v>
      </c>
      <c r="F213">
        <v>243.88561461794012</v>
      </c>
      <c r="G213" s="4">
        <v>0.26</v>
      </c>
      <c r="H213" s="7">
        <v>902.37677408637842</v>
      </c>
      <c r="I213" s="12">
        <v>45691</v>
      </c>
      <c r="J213" s="12" t="str">
        <f t="shared" si="3"/>
        <v>2025</v>
      </c>
      <c r="K213" s="18" t="s">
        <v>648</v>
      </c>
      <c r="L213" s="18" t="s">
        <v>652</v>
      </c>
    </row>
    <row r="214" spans="1:12" x14ac:dyDescent="0.25">
      <c r="A214" t="s">
        <v>223</v>
      </c>
      <c r="B214" t="s">
        <v>521</v>
      </c>
      <c r="C214" s="18" t="s">
        <v>607</v>
      </c>
      <c r="D214" s="18" t="s">
        <v>619</v>
      </c>
      <c r="E214" s="4">
        <v>2</v>
      </c>
      <c r="F214">
        <v>402.62</v>
      </c>
      <c r="G214" s="4">
        <v>0.03</v>
      </c>
      <c r="H214" s="7">
        <v>781.08280000000002</v>
      </c>
      <c r="I214" s="12">
        <v>45236</v>
      </c>
      <c r="J214" s="12" t="str">
        <f t="shared" si="3"/>
        <v>2023</v>
      </c>
      <c r="K214" s="18" t="s">
        <v>648</v>
      </c>
      <c r="L214" s="18" t="s">
        <v>653</v>
      </c>
    </row>
    <row r="215" spans="1:12" x14ac:dyDescent="0.25">
      <c r="A215" t="s">
        <v>224</v>
      </c>
      <c r="B215" t="s">
        <v>522</v>
      </c>
      <c r="C215" s="18" t="s">
        <v>605</v>
      </c>
      <c r="D215" s="18" t="s">
        <v>613</v>
      </c>
      <c r="E215" s="4">
        <v>3</v>
      </c>
      <c r="F215">
        <v>233.54</v>
      </c>
      <c r="G215" s="4">
        <v>0.11</v>
      </c>
      <c r="H215" s="7">
        <v>635.47478760541935</v>
      </c>
      <c r="I215" s="12">
        <v>45159</v>
      </c>
      <c r="J215" s="12" t="str">
        <f t="shared" si="3"/>
        <v>2023</v>
      </c>
      <c r="K215" s="18" t="s">
        <v>646</v>
      </c>
      <c r="L215" s="18" t="s">
        <v>655</v>
      </c>
    </row>
    <row r="216" spans="1:12" x14ac:dyDescent="0.25">
      <c r="A216" t="s">
        <v>225</v>
      </c>
      <c r="B216" t="s">
        <v>402</v>
      </c>
      <c r="C216" s="18" t="s">
        <v>605</v>
      </c>
      <c r="D216" s="18" t="s">
        <v>640</v>
      </c>
      <c r="E216" s="4">
        <v>2</v>
      </c>
      <c r="F216">
        <v>416.64</v>
      </c>
      <c r="G216" s="4">
        <v>0.16</v>
      </c>
      <c r="H216" s="7">
        <v>699.95519999999999</v>
      </c>
      <c r="I216" s="12">
        <v>45628</v>
      </c>
      <c r="J216" s="12" t="str">
        <f t="shared" si="3"/>
        <v>2024</v>
      </c>
      <c r="K216" s="18" t="s">
        <v>650</v>
      </c>
      <c r="L216" s="18" t="s">
        <v>651</v>
      </c>
    </row>
    <row r="217" spans="1:12" x14ac:dyDescent="0.25">
      <c r="A217" t="s">
        <v>226</v>
      </c>
      <c r="B217" t="s">
        <v>523</v>
      </c>
      <c r="C217" s="18" t="s">
        <v>607</v>
      </c>
      <c r="D217" s="18" t="s">
        <v>623</v>
      </c>
      <c r="E217" s="4">
        <v>4</v>
      </c>
      <c r="F217">
        <v>392.9</v>
      </c>
      <c r="G217" s="4">
        <v>0.03</v>
      </c>
      <c r="H217" s="7">
        <v>1524.452</v>
      </c>
      <c r="I217" s="12">
        <v>45546</v>
      </c>
      <c r="J217" s="12" t="str">
        <f t="shared" si="3"/>
        <v>2024</v>
      </c>
      <c r="K217" s="18" t="s">
        <v>648</v>
      </c>
      <c r="L217" s="18" t="s">
        <v>651</v>
      </c>
    </row>
    <row r="218" spans="1:12" x14ac:dyDescent="0.25">
      <c r="A218" t="s">
        <v>227</v>
      </c>
      <c r="B218" t="s">
        <v>524</v>
      </c>
      <c r="C218" s="18" t="s">
        <v>605</v>
      </c>
      <c r="D218" s="18" t="s">
        <v>617</v>
      </c>
      <c r="E218" s="4">
        <v>5</v>
      </c>
      <c r="F218">
        <v>246.64</v>
      </c>
      <c r="G218" s="4">
        <v>0.21</v>
      </c>
      <c r="H218" s="7">
        <v>974.22799999999995</v>
      </c>
      <c r="I218" s="12">
        <v>45110</v>
      </c>
      <c r="J218" s="12" t="str">
        <f t="shared" si="3"/>
        <v>2023</v>
      </c>
      <c r="K218" s="18" t="s">
        <v>648</v>
      </c>
      <c r="L218" s="18" t="s">
        <v>655</v>
      </c>
    </row>
    <row r="219" spans="1:12" x14ac:dyDescent="0.25">
      <c r="A219" t="s">
        <v>228</v>
      </c>
      <c r="B219" t="s">
        <v>365</v>
      </c>
      <c r="C219" s="18" t="s">
        <v>607</v>
      </c>
      <c r="D219" s="18" t="s">
        <v>623</v>
      </c>
      <c r="E219" s="4">
        <v>3</v>
      </c>
      <c r="F219">
        <v>75.349999999999994</v>
      </c>
      <c r="G219" s="4">
        <v>0.18</v>
      </c>
      <c r="H219" s="7">
        <v>185.36099999999999</v>
      </c>
      <c r="I219" s="12">
        <v>45189</v>
      </c>
      <c r="J219" s="12" t="str">
        <f t="shared" si="3"/>
        <v>2023</v>
      </c>
      <c r="K219" s="18" t="s">
        <v>646</v>
      </c>
      <c r="L219" s="18" t="s">
        <v>652</v>
      </c>
    </row>
    <row r="220" spans="1:12" x14ac:dyDescent="0.25">
      <c r="A220" t="s">
        <v>229</v>
      </c>
      <c r="B220" t="s">
        <v>525</v>
      </c>
      <c r="C220" s="18" t="s">
        <v>607</v>
      </c>
      <c r="D220" s="18" t="s">
        <v>634</v>
      </c>
      <c r="E220" s="4">
        <v>2</v>
      </c>
      <c r="F220">
        <v>350.21</v>
      </c>
      <c r="G220" s="4">
        <v>0.21</v>
      </c>
      <c r="H220" s="7">
        <v>553.33180000000004</v>
      </c>
      <c r="I220" s="12">
        <v>45361</v>
      </c>
      <c r="J220" s="12" t="str">
        <f t="shared" si="3"/>
        <v>2024</v>
      </c>
      <c r="K220" s="18" t="s">
        <v>646</v>
      </c>
      <c r="L220" s="18" t="s">
        <v>655</v>
      </c>
    </row>
    <row r="221" spans="1:12" x14ac:dyDescent="0.25">
      <c r="A221" t="s">
        <v>230</v>
      </c>
      <c r="B221" t="s">
        <v>526</v>
      </c>
      <c r="C221" s="18" t="s">
        <v>606</v>
      </c>
      <c r="D221" s="18" t="s">
        <v>626</v>
      </c>
      <c r="E221" s="4">
        <v>5</v>
      </c>
      <c r="F221">
        <v>81.209999999999994</v>
      </c>
      <c r="G221" s="4">
        <v>0.06</v>
      </c>
      <c r="H221" s="7">
        <v>381.68700000000001</v>
      </c>
      <c r="I221" s="12">
        <v>45009</v>
      </c>
      <c r="J221" s="12" t="str">
        <f t="shared" si="3"/>
        <v>2023</v>
      </c>
      <c r="K221" s="18" t="s">
        <v>649</v>
      </c>
      <c r="L221" s="18" t="s">
        <v>654</v>
      </c>
    </row>
    <row r="222" spans="1:12" x14ac:dyDescent="0.25">
      <c r="A222" t="s">
        <v>231</v>
      </c>
      <c r="B222" t="s">
        <v>527</v>
      </c>
      <c r="C222" s="18" t="s">
        <v>607</v>
      </c>
      <c r="D222" s="18" t="s">
        <v>641</v>
      </c>
      <c r="E222" s="4">
        <v>4</v>
      </c>
      <c r="F222">
        <v>341.01</v>
      </c>
      <c r="G222" s="4">
        <v>0.22</v>
      </c>
      <c r="H222" s="7">
        <v>1063.9512</v>
      </c>
      <c r="I222" s="12">
        <v>45048</v>
      </c>
      <c r="J222" s="12" t="str">
        <f t="shared" si="3"/>
        <v>2023</v>
      </c>
      <c r="K222" s="18" t="s">
        <v>647</v>
      </c>
      <c r="L222" s="18" t="s">
        <v>651</v>
      </c>
    </row>
    <row r="223" spans="1:12" x14ac:dyDescent="0.25">
      <c r="A223" t="s">
        <v>232</v>
      </c>
      <c r="B223" t="s">
        <v>528</v>
      </c>
      <c r="C223" s="18" t="s">
        <v>605</v>
      </c>
      <c r="D223" s="18" t="s">
        <v>640</v>
      </c>
      <c r="E223" s="4">
        <v>2</v>
      </c>
      <c r="F223">
        <v>456.63</v>
      </c>
      <c r="G223" s="4">
        <v>0.23</v>
      </c>
      <c r="H223" s="7">
        <v>703.21019999999999</v>
      </c>
      <c r="I223" s="12">
        <v>45057</v>
      </c>
      <c r="J223" s="12" t="str">
        <f t="shared" si="3"/>
        <v>2023</v>
      </c>
      <c r="K223" s="18" t="s">
        <v>650</v>
      </c>
      <c r="L223" s="18" t="s">
        <v>652</v>
      </c>
    </row>
    <row r="224" spans="1:12" x14ac:dyDescent="0.25">
      <c r="A224" t="s">
        <v>233</v>
      </c>
      <c r="B224" t="s">
        <v>529</v>
      </c>
      <c r="C224" s="18" t="s">
        <v>604</v>
      </c>
      <c r="D224" s="18" t="s">
        <v>616</v>
      </c>
      <c r="E224" s="4">
        <v>1</v>
      </c>
      <c r="F224">
        <v>139.47999999999999</v>
      </c>
      <c r="G224" s="4">
        <v>0.18</v>
      </c>
      <c r="H224" s="7">
        <v>114.3736</v>
      </c>
      <c r="I224" s="12">
        <v>45479</v>
      </c>
      <c r="J224" s="12" t="str">
        <f t="shared" si="3"/>
        <v>2024</v>
      </c>
      <c r="K224" s="18" t="s">
        <v>650</v>
      </c>
      <c r="L224" s="18" t="s">
        <v>653</v>
      </c>
    </row>
    <row r="225" spans="1:12" x14ac:dyDescent="0.25">
      <c r="A225" t="s">
        <v>234</v>
      </c>
      <c r="B225" t="s">
        <v>530</v>
      </c>
      <c r="C225" s="18" t="s">
        <v>609</v>
      </c>
      <c r="D225" s="18" t="s">
        <v>629</v>
      </c>
      <c r="E225" s="4">
        <v>3</v>
      </c>
      <c r="F225">
        <v>279.58</v>
      </c>
      <c r="G225" s="4">
        <v>0.24</v>
      </c>
      <c r="H225" s="7">
        <v>637.44240000000002</v>
      </c>
      <c r="I225" s="12">
        <v>45600</v>
      </c>
      <c r="J225" s="12" t="str">
        <f t="shared" si="3"/>
        <v>2024</v>
      </c>
      <c r="K225" s="18" t="s">
        <v>646</v>
      </c>
      <c r="L225" s="18" t="s">
        <v>653</v>
      </c>
    </row>
    <row r="226" spans="1:12" x14ac:dyDescent="0.25">
      <c r="A226" t="s">
        <v>235</v>
      </c>
      <c r="B226" t="s">
        <v>531</v>
      </c>
      <c r="C226" s="18" t="s">
        <v>605</v>
      </c>
      <c r="D226" s="18" t="s">
        <v>639</v>
      </c>
      <c r="E226" s="4">
        <v>2</v>
      </c>
      <c r="F226">
        <v>153.85</v>
      </c>
      <c r="G226" s="4">
        <v>0.3</v>
      </c>
      <c r="H226" s="7">
        <v>215.39</v>
      </c>
      <c r="I226" s="12">
        <v>45788</v>
      </c>
      <c r="J226" s="12" t="str">
        <f t="shared" si="3"/>
        <v>2025</v>
      </c>
      <c r="K226" s="18" t="s">
        <v>647</v>
      </c>
      <c r="L226" s="18" t="s">
        <v>652</v>
      </c>
    </row>
    <row r="227" spans="1:12" x14ac:dyDescent="0.25">
      <c r="A227" t="s">
        <v>236</v>
      </c>
      <c r="B227" t="s">
        <v>532</v>
      </c>
      <c r="C227" s="18" t="s">
        <v>609</v>
      </c>
      <c r="D227" s="18" t="s">
        <v>645</v>
      </c>
      <c r="E227" s="4">
        <v>1</v>
      </c>
      <c r="F227">
        <v>364.75</v>
      </c>
      <c r="G227" s="4">
        <v>0.27</v>
      </c>
      <c r="H227" s="7">
        <v>266.26749999999998</v>
      </c>
      <c r="I227" s="12">
        <v>45237</v>
      </c>
      <c r="J227" s="12" t="str">
        <f t="shared" si="3"/>
        <v>2023</v>
      </c>
      <c r="K227" s="18" t="s">
        <v>648</v>
      </c>
      <c r="L227" s="18" t="s">
        <v>653</v>
      </c>
    </row>
    <row r="228" spans="1:12" x14ac:dyDescent="0.25">
      <c r="A228" t="s">
        <v>237</v>
      </c>
      <c r="B228" t="s">
        <v>533</v>
      </c>
      <c r="C228" s="18" t="s">
        <v>605</v>
      </c>
      <c r="D228" s="18" t="s">
        <v>615</v>
      </c>
      <c r="E228" s="4">
        <v>5</v>
      </c>
      <c r="F228">
        <v>113.28</v>
      </c>
      <c r="G228" s="4">
        <v>0.26</v>
      </c>
      <c r="H228" s="7">
        <v>419.13600000000002</v>
      </c>
      <c r="I228" s="12">
        <v>45598</v>
      </c>
      <c r="J228" s="12" t="str">
        <f t="shared" si="3"/>
        <v>2024</v>
      </c>
      <c r="K228" s="18" t="s">
        <v>646</v>
      </c>
      <c r="L228" s="18" t="s">
        <v>651</v>
      </c>
    </row>
    <row r="229" spans="1:12" x14ac:dyDescent="0.25">
      <c r="A229" t="s">
        <v>238</v>
      </c>
      <c r="B229" t="s">
        <v>534</v>
      </c>
      <c r="C229" s="18" t="s">
        <v>609</v>
      </c>
      <c r="D229" s="18" t="s">
        <v>656</v>
      </c>
      <c r="E229" s="4">
        <v>1</v>
      </c>
      <c r="F229">
        <v>283.45999999999998</v>
      </c>
      <c r="G229" s="4">
        <v>0.27</v>
      </c>
      <c r="H229" s="7">
        <v>206.92580000000001</v>
      </c>
      <c r="I229" s="12">
        <v>45481</v>
      </c>
      <c r="J229" s="12" t="str">
        <f t="shared" si="3"/>
        <v>2024</v>
      </c>
      <c r="K229" s="18" t="s">
        <v>648</v>
      </c>
      <c r="L229" s="18" t="s">
        <v>652</v>
      </c>
    </row>
    <row r="230" spans="1:12" x14ac:dyDescent="0.25">
      <c r="A230" t="s">
        <v>239</v>
      </c>
      <c r="B230" t="s">
        <v>535</v>
      </c>
      <c r="C230" s="18" t="s">
        <v>609</v>
      </c>
      <c r="D230" s="18" t="s">
        <v>641</v>
      </c>
      <c r="E230" s="4">
        <v>5</v>
      </c>
      <c r="F230">
        <v>45.57</v>
      </c>
      <c r="G230" s="4">
        <v>0.09</v>
      </c>
      <c r="H230" s="7">
        <v>207.34350000000001</v>
      </c>
      <c r="I230" s="12">
        <v>45118</v>
      </c>
      <c r="J230" s="12" t="str">
        <f t="shared" si="3"/>
        <v>2023</v>
      </c>
      <c r="K230" s="18" t="s">
        <v>649</v>
      </c>
      <c r="L230" s="18" t="s">
        <v>651</v>
      </c>
    </row>
    <row r="231" spans="1:12" x14ac:dyDescent="0.25">
      <c r="A231" t="s">
        <v>240</v>
      </c>
      <c r="B231" t="s">
        <v>536</v>
      </c>
      <c r="C231" s="18" t="s">
        <v>607</v>
      </c>
      <c r="D231" s="18" t="s">
        <v>623</v>
      </c>
      <c r="E231" s="4">
        <v>4</v>
      </c>
      <c r="F231">
        <v>80.599999999999994</v>
      </c>
      <c r="G231" s="4">
        <v>0.28999999999999998</v>
      </c>
      <c r="H231" s="7">
        <v>272.76757945351608</v>
      </c>
      <c r="I231" s="12">
        <v>45325</v>
      </c>
      <c r="J231" s="12" t="str">
        <f t="shared" si="3"/>
        <v>2024</v>
      </c>
      <c r="K231" s="18" t="s">
        <v>647</v>
      </c>
      <c r="L231" s="18" t="s">
        <v>653</v>
      </c>
    </row>
    <row r="232" spans="1:12" x14ac:dyDescent="0.25">
      <c r="A232" t="s">
        <v>241</v>
      </c>
      <c r="B232" t="s">
        <v>537</v>
      </c>
      <c r="C232" s="18" t="s">
        <v>610</v>
      </c>
      <c r="D232" s="18" t="s">
        <v>637</v>
      </c>
      <c r="E232" s="4">
        <v>3</v>
      </c>
      <c r="F232">
        <v>326.51</v>
      </c>
      <c r="G232" s="4">
        <v>0.05</v>
      </c>
      <c r="H232" s="7">
        <v>930.55349999999999</v>
      </c>
      <c r="I232" s="12">
        <v>45204</v>
      </c>
      <c r="J232" s="12" t="str">
        <f t="shared" si="3"/>
        <v>2023</v>
      </c>
      <c r="K232" s="18" t="s">
        <v>647</v>
      </c>
      <c r="L232" s="18" t="s">
        <v>654</v>
      </c>
    </row>
    <row r="233" spans="1:12" x14ac:dyDescent="0.25">
      <c r="A233" t="s">
        <v>242</v>
      </c>
      <c r="B233" t="s">
        <v>538</v>
      </c>
      <c r="C233" s="18" t="s">
        <v>607</v>
      </c>
      <c r="D233" s="18" t="s">
        <v>619</v>
      </c>
      <c r="E233" s="4">
        <v>1</v>
      </c>
      <c r="F233">
        <v>132.84</v>
      </c>
      <c r="G233" s="4">
        <v>0.22</v>
      </c>
      <c r="H233" s="7">
        <v>103.6152</v>
      </c>
      <c r="I233" s="12">
        <v>45096</v>
      </c>
      <c r="J233" s="12" t="str">
        <f t="shared" si="3"/>
        <v>2023</v>
      </c>
      <c r="K233" s="18" t="s">
        <v>650</v>
      </c>
      <c r="L233" s="18" t="s">
        <v>654</v>
      </c>
    </row>
    <row r="234" spans="1:12" x14ac:dyDescent="0.25">
      <c r="A234" t="s">
        <v>243</v>
      </c>
      <c r="B234" t="s">
        <v>539</v>
      </c>
      <c r="C234" s="18" t="s">
        <v>608</v>
      </c>
      <c r="D234" s="18" t="s">
        <v>635</v>
      </c>
      <c r="E234" s="4">
        <v>3</v>
      </c>
      <c r="F234">
        <v>188.6</v>
      </c>
      <c r="G234" s="4">
        <v>0.28999999999999998</v>
      </c>
      <c r="H234" s="7">
        <v>401.71800000000002</v>
      </c>
      <c r="I234" s="12">
        <v>45205</v>
      </c>
      <c r="J234" s="12" t="str">
        <f t="shared" si="3"/>
        <v>2023</v>
      </c>
      <c r="K234" s="18" t="s">
        <v>650</v>
      </c>
      <c r="L234" s="18" t="s">
        <v>651</v>
      </c>
    </row>
    <row r="235" spans="1:12" x14ac:dyDescent="0.25">
      <c r="A235" t="s">
        <v>244</v>
      </c>
      <c r="B235" t="s">
        <v>540</v>
      </c>
      <c r="C235" s="18" t="s">
        <v>608</v>
      </c>
      <c r="D235" s="18" t="s">
        <v>622</v>
      </c>
      <c r="E235" s="4">
        <v>3</v>
      </c>
      <c r="F235">
        <v>96.13</v>
      </c>
      <c r="G235" s="4">
        <v>0.25</v>
      </c>
      <c r="H235" s="7">
        <v>216.29249999999999</v>
      </c>
      <c r="I235" s="12">
        <v>45294</v>
      </c>
      <c r="J235" s="12" t="str">
        <f t="shared" si="3"/>
        <v>2024</v>
      </c>
      <c r="K235" s="18" t="s">
        <v>649</v>
      </c>
      <c r="L235" s="18" t="s">
        <v>653</v>
      </c>
    </row>
    <row r="236" spans="1:12" x14ac:dyDescent="0.25">
      <c r="A236" t="s">
        <v>245</v>
      </c>
      <c r="B236" t="s">
        <v>541</v>
      </c>
      <c r="C236" s="18" t="s">
        <v>606</v>
      </c>
      <c r="D236" s="18" t="s">
        <v>613</v>
      </c>
      <c r="E236" s="4">
        <v>5</v>
      </c>
      <c r="F236">
        <v>280.27999999999997</v>
      </c>
      <c r="G236" s="4">
        <v>0.2</v>
      </c>
      <c r="H236" s="7">
        <v>1121.1199999999999</v>
      </c>
      <c r="I236" s="12">
        <v>45511</v>
      </c>
      <c r="J236" s="12" t="str">
        <f t="shared" si="3"/>
        <v>2024</v>
      </c>
      <c r="K236" s="18" t="s">
        <v>646</v>
      </c>
      <c r="L236" s="18" t="s">
        <v>652</v>
      </c>
    </row>
    <row r="237" spans="1:12" x14ac:dyDescent="0.25">
      <c r="A237" t="s">
        <v>246</v>
      </c>
      <c r="B237" t="s">
        <v>542</v>
      </c>
      <c r="C237" s="18" t="s">
        <v>607</v>
      </c>
      <c r="D237" s="18" t="s">
        <v>656</v>
      </c>
      <c r="E237" s="4">
        <v>5</v>
      </c>
      <c r="F237">
        <v>78.78</v>
      </c>
      <c r="G237" s="4">
        <v>0.05</v>
      </c>
      <c r="H237" s="7">
        <v>374.20499999999998</v>
      </c>
      <c r="I237" s="12">
        <v>45028</v>
      </c>
      <c r="J237" s="12" t="str">
        <f t="shared" si="3"/>
        <v>2023</v>
      </c>
      <c r="K237" s="18" t="s">
        <v>648</v>
      </c>
      <c r="L237" s="18" t="s">
        <v>652</v>
      </c>
    </row>
    <row r="238" spans="1:12" x14ac:dyDescent="0.25">
      <c r="A238" t="s">
        <v>247</v>
      </c>
      <c r="B238" t="s">
        <v>543</v>
      </c>
      <c r="C238" s="18" t="s">
        <v>610</v>
      </c>
      <c r="D238" s="18" t="s">
        <v>633</v>
      </c>
      <c r="E238" s="4">
        <v>5</v>
      </c>
      <c r="F238">
        <v>459.77</v>
      </c>
      <c r="G238" s="4">
        <v>0.01</v>
      </c>
      <c r="H238" s="7">
        <v>2275.8615</v>
      </c>
      <c r="I238" s="12">
        <v>44979</v>
      </c>
      <c r="J238" s="12" t="str">
        <f t="shared" si="3"/>
        <v>2023</v>
      </c>
      <c r="K238" s="18" t="s">
        <v>649</v>
      </c>
      <c r="L238" s="18" t="s">
        <v>655</v>
      </c>
    </row>
    <row r="239" spans="1:12" x14ac:dyDescent="0.25">
      <c r="A239" t="s">
        <v>248</v>
      </c>
      <c r="B239" t="s">
        <v>313</v>
      </c>
      <c r="C239" s="18" t="s">
        <v>609</v>
      </c>
      <c r="D239" s="18" t="s">
        <v>631</v>
      </c>
      <c r="E239" s="4">
        <v>4</v>
      </c>
      <c r="F239">
        <v>182.92</v>
      </c>
      <c r="G239" s="4">
        <v>0.15</v>
      </c>
      <c r="H239" s="7">
        <v>621.928</v>
      </c>
      <c r="I239" s="12">
        <v>45088</v>
      </c>
      <c r="J239" s="12" t="str">
        <f t="shared" si="3"/>
        <v>2023</v>
      </c>
      <c r="K239" s="18" t="s">
        <v>646</v>
      </c>
      <c r="L239" s="18" t="s">
        <v>654</v>
      </c>
    </row>
    <row r="240" spans="1:12" x14ac:dyDescent="0.25">
      <c r="A240" t="s">
        <v>249</v>
      </c>
      <c r="B240" t="s">
        <v>544</v>
      </c>
      <c r="C240" s="18" t="s">
        <v>604</v>
      </c>
      <c r="D240" s="18" t="s">
        <v>611</v>
      </c>
      <c r="E240" s="4">
        <v>3</v>
      </c>
      <c r="F240">
        <v>213.16</v>
      </c>
      <c r="G240" s="4">
        <v>0.22</v>
      </c>
      <c r="H240" s="7">
        <v>498.79440000000011</v>
      </c>
      <c r="I240" s="12">
        <v>44994</v>
      </c>
      <c r="J240" s="12" t="str">
        <f t="shared" si="3"/>
        <v>2023</v>
      </c>
      <c r="K240" s="18" t="s">
        <v>650</v>
      </c>
      <c r="L240" s="18" t="s">
        <v>655</v>
      </c>
    </row>
    <row r="241" spans="1:12" x14ac:dyDescent="0.25">
      <c r="A241" t="s">
        <v>250</v>
      </c>
      <c r="B241" t="s">
        <v>545</v>
      </c>
      <c r="C241" s="18" t="s">
        <v>604</v>
      </c>
      <c r="D241" s="18" t="s">
        <v>616</v>
      </c>
      <c r="E241" s="4">
        <v>2</v>
      </c>
      <c r="F241">
        <v>81.96</v>
      </c>
      <c r="G241" s="4">
        <v>0.08</v>
      </c>
      <c r="H241" s="7">
        <v>150.8064</v>
      </c>
      <c r="I241" s="12">
        <v>45723</v>
      </c>
      <c r="J241" s="12" t="str">
        <f t="shared" si="3"/>
        <v>2025</v>
      </c>
      <c r="K241" s="18" t="s">
        <v>649</v>
      </c>
      <c r="L241" s="18" t="s">
        <v>653</v>
      </c>
    </row>
    <row r="242" spans="1:12" x14ac:dyDescent="0.25">
      <c r="A242" t="s">
        <v>251</v>
      </c>
      <c r="B242" t="s">
        <v>546</v>
      </c>
      <c r="C242" s="18" t="s">
        <v>604</v>
      </c>
      <c r="D242" s="18" t="s">
        <v>611</v>
      </c>
      <c r="E242" s="4">
        <v>5</v>
      </c>
      <c r="F242">
        <v>412.02</v>
      </c>
      <c r="G242" s="4">
        <v>0.19</v>
      </c>
      <c r="H242" s="7">
        <v>1668.681</v>
      </c>
      <c r="I242" s="12">
        <v>45012</v>
      </c>
      <c r="J242" s="12" t="str">
        <f t="shared" si="3"/>
        <v>2023</v>
      </c>
      <c r="K242" s="18" t="s">
        <v>648</v>
      </c>
      <c r="L242" s="18" t="s">
        <v>655</v>
      </c>
    </row>
    <row r="243" spans="1:12" x14ac:dyDescent="0.25">
      <c r="A243" t="s">
        <v>252</v>
      </c>
      <c r="B243" t="s">
        <v>547</v>
      </c>
      <c r="C243" s="18" t="s">
        <v>605</v>
      </c>
      <c r="D243" s="18" t="s">
        <v>615</v>
      </c>
      <c r="E243" s="4">
        <v>5</v>
      </c>
      <c r="F243">
        <v>306.7</v>
      </c>
      <c r="G243" s="4">
        <v>0.14000000000000001</v>
      </c>
      <c r="H243" s="7">
        <v>1318.81</v>
      </c>
      <c r="I243" s="12">
        <v>45505</v>
      </c>
      <c r="J243" s="12" t="str">
        <f t="shared" si="3"/>
        <v>2024</v>
      </c>
      <c r="K243" s="18" t="s">
        <v>647</v>
      </c>
      <c r="L243" s="18" t="s">
        <v>651</v>
      </c>
    </row>
    <row r="244" spans="1:12" x14ac:dyDescent="0.25">
      <c r="A244" t="s">
        <v>253</v>
      </c>
      <c r="B244" t="s">
        <v>548</v>
      </c>
      <c r="C244" s="18" t="s">
        <v>606</v>
      </c>
      <c r="D244" s="18" t="s">
        <v>626</v>
      </c>
      <c r="E244" s="4">
        <v>3</v>
      </c>
      <c r="F244">
        <v>220.19</v>
      </c>
      <c r="G244" s="4">
        <v>0.24</v>
      </c>
      <c r="H244" s="7">
        <v>502.03320000000002</v>
      </c>
      <c r="I244" s="12">
        <v>45787</v>
      </c>
      <c r="J244" s="12" t="str">
        <f t="shared" si="3"/>
        <v>2025</v>
      </c>
      <c r="K244" s="18" t="s">
        <v>648</v>
      </c>
      <c r="L244" s="18" t="s">
        <v>654</v>
      </c>
    </row>
    <row r="245" spans="1:12" x14ac:dyDescent="0.25">
      <c r="A245" t="s">
        <v>254</v>
      </c>
      <c r="B245" t="s">
        <v>549</v>
      </c>
      <c r="C245" s="18" t="s">
        <v>607</v>
      </c>
      <c r="D245" s="18" t="s">
        <v>619</v>
      </c>
      <c r="E245" s="4">
        <v>1</v>
      </c>
      <c r="F245">
        <v>67.739999999999995</v>
      </c>
      <c r="G245" s="4">
        <v>0.11</v>
      </c>
      <c r="H245" s="7">
        <v>60.288600000000002</v>
      </c>
      <c r="I245" s="12">
        <v>45236</v>
      </c>
      <c r="J245" s="12" t="str">
        <f t="shared" si="3"/>
        <v>2023</v>
      </c>
      <c r="K245" s="18" t="s">
        <v>649</v>
      </c>
      <c r="L245" s="18" t="s">
        <v>653</v>
      </c>
    </row>
    <row r="246" spans="1:12" x14ac:dyDescent="0.25">
      <c r="A246" t="s">
        <v>255</v>
      </c>
      <c r="B246" t="s">
        <v>550</v>
      </c>
      <c r="C246" s="18" t="s">
        <v>607</v>
      </c>
      <c r="D246" s="18" t="s">
        <v>619</v>
      </c>
      <c r="E246" s="4">
        <v>5</v>
      </c>
      <c r="F246">
        <v>204.75</v>
      </c>
      <c r="G246" s="4">
        <v>0.12</v>
      </c>
      <c r="H246" s="7">
        <v>900.9</v>
      </c>
      <c r="I246" s="12">
        <v>45055</v>
      </c>
      <c r="J246" s="12" t="str">
        <f t="shared" si="3"/>
        <v>2023</v>
      </c>
      <c r="K246" s="18" t="s">
        <v>649</v>
      </c>
      <c r="L246" s="18" t="s">
        <v>655</v>
      </c>
    </row>
    <row r="247" spans="1:12" x14ac:dyDescent="0.25">
      <c r="A247" t="s">
        <v>256</v>
      </c>
      <c r="B247" t="s">
        <v>551</v>
      </c>
      <c r="C247" s="18" t="s">
        <v>606</v>
      </c>
      <c r="D247" s="18" t="s">
        <v>626</v>
      </c>
      <c r="E247" s="4">
        <v>1</v>
      </c>
      <c r="F247">
        <v>352.66</v>
      </c>
      <c r="G247" s="4">
        <v>0.03</v>
      </c>
      <c r="H247" s="7">
        <v>342.08019999999999</v>
      </c>
      <c r="I247" s="12">
        <v>45602</v>
      </c>
      <c r="J247" s="12" t="str">
        <f t="shared" si="3"/>
        <v>2024</v>
      </c>
      <c r="K247" s="18" t="s">
        <v>646</v>
      </c>
      <c r="L247" s="18" t="s">
        <v>651</v>
      </c>
    </row>
    <row r="248" spans="1:12" x14ac:dyDescent="0.25">
      <c r="A248" t="s">
        <v>257</v>
      </c>
      <c r="B248" t="s">
        <v>552</v>
      </c>
      <c r="C248" s="18" t="s">
        <v>608</v>
      </c>
      <c r="D248" s="18" t="s">
        <v>636</v>
      </c>
      <c r="E248" s="4">
        <v>1</v>
      </c>
      <c r="F248">
        <v>49.22</v>
      </c>
      <c r="G248" s="4">
        <v>0.22</v>
      </c>
      <c r="H248" s="7">
        <v>38.391599999999997</v>
      </c>
      <c r="I248" s="12">
        <v>45132</v>
      </c>
      <c r="J248" s="12" t="str">
        <f t="shared" si="3"/>
        <v>2023</v>
      </c>
      <c r="K248" s="18" t="s">
        <v>646</v>
      </c>
      <c r="L248" s="18" t="s">
        <v>653</v>
      </c>
    </row>
    <row r="249" spans="1:12" x14ac:dyDescent="0.25">
      <c r="A249" t="s">
        <v>258</v>
      </c>
      <c r="B249" t="s">
        <v>553</v>
      </c>
      <c r="C249" s="18" t="s">
        <v>604</v>
      </c>
      <c r="D249" s="18" t="s">
        <v>616</v>
      </c>
      <c r="E249" s="4">
        <v>1</v>
      </c>
      <c r="F249">
        <v>340.27</v>
      </c>
      <c r="G249" s="4">
        <v>7.0000000000000007E-2</v>
      </c>
      <c r="H249" s="7">
        <v>325.16589328166913</v>
      </c>
      <c r="I249" s="12">
        <v>45570</v>
      </c>
      <c r="J249" s="12" t="str">
        <f t="shared" si="3"/>
        <v>2024</v>
      </c>
      <c r="K249" s="18" t="s">
        <v>649</v>
      </c>
      <c r="L249" s="18" t="s">
        <v>651</v>
      </c>
    </row>
    <row r="250" spans="1:12" x14ac:dyDescent="0.25">
      <c r="A250" t="s">
        <v>259</v>
      </c>
      <c r="B250" t="s">
        <v>554</v>
      </c>
      <c r="C250" s="18" t="s">
        <v>605</v>
      </c>
      <c r="D250" s="18" t="s">
        <v>640</v>
      </c>
      <c r="E250" s="4">
        <v>5</v>
      </c>
      <c r="F250">
        <v>409.6</v>
      </c>
      <c r="G250" s="4">
        <v>0.18</v>
      </c>
      <c r="H250" s="7">
        <v>1679.36</v>
      </c>
      <c r="I250" s="12">
        <v>45695</v>
      </c>
      <c r="J250" s="12" t="str">
        <f t="shared" si="3"/>
        <v>2025</v>
      </c>
      <c r="K250" s="18" t="s">
        <v>649</v>
      </c>
      <c r="L250" s="18" t="s">
        <v>654</v>
      </c>
    </row>
    <row r="251" spans="1:12" x14ac:dyDescent="0.25">
      <c r="A251" t="s">
        <v>260</v>
      </c>
      <c r="B251" t="s">
        <v>555</v>
      </c>
      <c r="C251" s="18" t="s">
        <v>610</v>
      </c>
      <c r="D251" s="18" t="s">
        <v>621</v>
      </c>
      <c r="E251" s="4">
        <v>3</v>
      </c>
      <c r="F251">
        <v>483.37</v>
      </c>
      <c r="G251" s="4">
        <v>0.23</v>
      </c>
      <c r="H251" s="7">
        <v>1116.5847000000001</v>
      </c>
      <c r="I251" s="12">
        <v>45604</v>
      </c>
      <c r="J251" s="12" t="str">
        <f t="shared" si="3"/>
        <v>2024</v>
      </c>
      <c r="K251" s="18" t="s">
        <v>646</v>
      </c>
      <c r="L251" s="18" t="s">
        <v>653</v>
      </c>
    </row>
    <row r="252" spans="1:12" x14ac:dyDescent="0.25">
      <c r="A252" t="s">
        <v>261</v>
      </c>
      <c r="B252" t="s">
        <v>556</v>
      </c>
      <c r="C252" s="18" t="s">
        <v>604</v>
      </c>
      <c r="D252" s="18" t="s">
        <v>611</v>
      </c>
      <c r="E252" s="4">
        <v>4</v>
      </c>
      <c r="F252">
        <v>14.76</v>
      </c>
      <c r="G252" s="4">
        <v>7.0000000000000007E-2</v>
      </c>
      <c r="H252" s="7">
        <v>88.91839792230887</v>
      </c>
      <c r="I252" s="12">
        <v>45663</v>
      </c>
      <c r="J252" s="12" t="str">
        <f t="shared" si="3"/>
        <v>2025</v>
      </c>
      <c r="K252" s="18" t="s">
        <v>646</v>
      </c>
      <c r="L252" s="18" t="s">
        <v>654</v>
      </c>
    </row>
    <row r="253" spans="1:12" x14ac:dyDescent="0.25">
      <c r="A253" t="s">
        <v>262</v>
      </c>
      <c r="B253" t="s">
        <v>557</v>
      </c>
      <c r="C253" s="18" t="s">
        <v>609</v>
      </c>
      <c r="D253" s="18" t="s">
        <v>625</v>
      </c>
      <c r="E253" s="4">
        <v>2</v>
      </c>
      <c r="F253">
        <v>437.64</v>
      </c>
      <c r="G253" s="4">
        <v>7.0000000000000007E-2</v>
      </c>
      <c r="H253" s="7">
        <v>814.01039999999989</v>
      </c>
      <c r="I253" s="12">
        <v>45243</v>
      </c>
      <c r="J253" s="12" t="str">
        <f t="shared" si="3"/>
        <v>2023</v>
      </c>
      <c r="K253" s="18" t="s">
        <v>650</v>
      </c>
      <c r="L253" s="18" t="s">
        <v>653</v>
      </c>
    </row>
    <row r="254" spans="1:12" x14ac:dyDescent="0.25">
      <c r="A254" t="s">
        <v>263</v>
      </c>
      <c r="B254" t="s">
        <v>558</v>
      </c>
      <c r="C254" s="18" t="s">
        <v>606</v>
      </c>
      <c r="D254" s="18" t="s">
        <v>613</v>
      </c>
      <c r="E254" s="4">
        <v>4</v>
      </c>
      <c r="F254">
        <v>251.25</v>
      </c>
      <c r="G254" s="4">
        <v>0.15</v>
      </c>
      <c r="H254" s="7">
        <v>854.25</v>
      </c>
      <c r="I254" s="12">
        <v>45188</v>
      </c>
      <c r="J254" s="12" t="str">
        <f t="shared" si="3"/>
        <v>2023</v>
      </c>
      <c r="K254" s="18" t="s">
        <v>648</v>
      </c>
      <c r="L254" s="18" t="s">
        <v>654</v>
      </c>
    </row>
    <row r="255" spans="1:12" x14ac:dyDescent="0.25">
      <c r="A255" t="s">
        <v>264</v>
      </c>
      <c r="B255" t="s">
        <v>559</v>
      </c>
      <c r="C255" s="18" t="s">
        <v>608</v>
      </c>
      <c r="D255" s="18" t="s">
        <v>656</v>
      </c>
      <c r="E255" s="4">
        <v>3</v>
      </c>
      <c r="F255">
        <v>390.19</v>
      </c>
      <c r="G255" s="4">
        <v>0.28999999999999998</v>
      </c>
      <c r="H255" s="7">
        <v>831.10469999999987</v>
      </c>
      <c r="I255" s="12">
        <v>45638</v>
      </c>
      <c r="J255" s="12" t="str">
        <f t="shared" si="3"/>
        <v>2024</v>
      </c>
      <c r="K255" s="18" t="s">
        <v>649</v>
      </c>
      <c r="L255" s="18" t="s">
        <v>653</v>
      </c>
    </row>
    <row r="256" spans="1:12" x14ac:dyDescent="0.25">
      <c r="A256" t="s">
        <v>265</v>
      </c>
      <c r="B256" t="s">
        <v>560</v>
      </c>
      <c r="C256" s="18" t="s">
        <v>607</v>
      </c>
      <c r="D256" s="18" t="s">
        <v>634</v>
      </c>
      <c r="E256" s="4">
        <v>3</v>
      </c>
      <c r="F256">
        <v>479.68</v>
      </c>
      <c r="G256" s="4">
        <v>0.11</v>
      </c>
      <c r="H256" s="7">
        <v>1280.7456</v>
      </c>
      <c r="I256" s="12">
        <v>45447</v>
      </c>
      <c r="J256" s="12" t="str">
        <f t="shared" si="3"/>
        <v>2024</v>
      </c>
      <c r="K256" s="18" t="s">
        <v>649</v>
      </c>
      <c r="L256" s="18" t="s">
        <v>652</v>
      </c>
    </row>
    <row r="257" spans="1:12" x14ac:dyDescent="0.25">
      <c r="A257" t="s">
        <v>266</v>
      </c>
      <c r="B257" t="s">
        <v>450</v>
      </c>
      <c r="C257" s="18" t="s">
        <v>607</v>
      </c>
      <c r="D257" s="18" t="s">
        <v>623</v>
      </c>
      <c r="E257" s="4">
        <v>3</v>
      </c>
      <c r="F257">
        <v>429.59</v>
      </c>
      <c r="G257" s="4">
        <v>0.04</v>
      </c>
      <c r="H257" s="7">
        <v>1237.2192</v>
      </c>
      <c r="I257" s="12">
        <v>45446</v>
      </c>
      <c r="J257" s="12" t="str">
        <f t="shared" si="3"/>
        <v>2024</v>
      </c>
      <c r="K257" s="18" t="s">
        <v>647</v>
      </c>
      <c r="L257" s="18" t="s">
        <v>654</v>
      </c>
    </row>
    <row r="258" spans="1:12" x14ac:dyDescent="0.25">
      <c r="A258" t="s">
        <v>267</v>
      </c>
      <c r="B258" t="s">
        <v>561</v>
      </c>
      <c r="C258" s="18" t="s">
        <v>610</v>
      </c>
      <c r="D258" s="18" t="s">
        <v>638</v>
      </c>
      <c r="E258" s="4">
        <v>5</v>
      </c>
      <c r="F258">
        <v>348.37</v>
      </c>
      <c r="G258" s="4">
        <v>0.06</v>
      </c>
      <c r="H258" s="7">
        <v>1637.3389999999999</v>
      </c>
      <c r="I258" s="12">
        <v>45484</v>
      </c>
      <c r="J258" s="12" t="str">
        <f t="shared" ref="J258:J311" si="4">TEXT(I258,"yyyy")</f>
        <v>2024</v>
      </c>
      <c r="K258" s="18" t="s">
        <v>648</v>
      </c>
      <c r="L258" s="18" t="s">
        <v>652</v>
      </c>
    </row>
    <row r="259" spans="1:12" x14ac:dyDescent="0.25">
      <c r="A259" t="s">
        <v>268</v>
      </c>
      <c r="B259" t="s">
        <v>562</v>
      </c>
      <c r="C259" s="18" t="s">
        <v>608</v>
      </c>
      <c r="D259" s="18" t="s">
        <v>632</v>
      </c>
      <c r="E259" s="4">
        <v>5</v>
      </c>
      <c r="F259">
        <v>328.43</v>
      </c>
      <c r="G259" s="4">
        <v>0.28999999999999998</v>
      </c>
      <c r="H259" s="7">
        <v>1165.9265</v>
      </c>
      <c r="I259" s="12">
        <v>45388</v>
      </c>
      <c r="J259" s="12" t="str">
        <f t="shared" si="4"/>
        <v>2024</v>
      </c>
      <c r="K259" s="18" t="s">
        <v>648</v>
      </c>
      <c r="L259" s="18" t="s">
        <v>653</v>
      </c>
    </row>
    <row r="260" spans="1:12" x14ac:dyDescent="0.25">
      <c r="A260" t="s">
        <v>269</v>
      </c>
      <c r="B260" t="s">
        <v>563</v>
      </c>
      <c r="C260" s="18" t="s">
        <v>609</v>
      </c>
      <c r="D260" s="18" t="s">
        <v>645</v>
      </c>
      <c r="E260" s="4">
        <v>5</v>
      </c>
      <c r="F260">
        <v>44.96</v>
      </c>
      <c r="G260" s="4">
        <v>0.1</v>
      </c>
      <c r="H260" s="7">
        <v>202.32</v>
      </c>
      <c r="I260" s="12">
        <v>45261</v>
      </c>
      <c r="J260" s="12" t="str">
        <f t="shared" si="4"/>
        <v>2023</v>
      </c>
      <c r="K260" s="18" t="s">
        <v>649</v>
      </c>
      <c r="L260" s="18" t="s">
        <v>655</v>
      </c>
    </row>
    <row r="261" spans="1:12" x14ac:dyDescent="0.25">
      <c r="A261" t="s">
        <v>270</v>
      </c>
      <c r="B261" t="s">
        <v>564</v>
      </c>
      <c r="C261" s="18" t="s">
        <v>610</v>
      </c>
      <c r="D261" s="18" t="s">
        <v>630</v>
      </c>
      <c r="E261" s="4">
        <v>4</v>
      </c>
      <c r="F261">
        <v>428.56</v>
      </c>
      <c r="G261" s="4">
        <v>0.22</v>
      </c>
      <c r="H261" s="7">
        <v>1337.1071999999999</v>
      </c>
      <c r="I261" s="12">
        <v>45669</v>
      </c>
      <c r="J261" s="12" t="str">
        <f t="shared" si="4"/>
        <v>2025</v>
      </c>
      <c r="K261" s="18" t="s">
        <v>650</v>
      </c>
      <c r="L261" s="18" t="s">
        <v>654</v>
      </c>
    </row>
    <row r="262" spans="1:12" x14ac:dyDescent="0.25">
      <c r="A262" t="s">
        <v>271</v>
      </c>
      <c r="B262" t="s">
        <v>335</v>
      </c>
      <c r="C262" s="18" t="s">
        <v>605</v>
      </c>
      <c r="D262" s="18" t="s">
        <v>644</v>
      </c>
      <c r="E262" s="4">
        <v>1</v>
      </c>
      <c r="F262">
        <v>86.08</v>
      </c>
      <c r="G262" s="4">
        <v>0.09</v>
      </c>
      <c r="H262" s="7">
        <v>78.332800000000006</v>
      </c>
      <c r="I262" s="12">
        <v>45693</v>
      </c>
      <c r="J262" s="12" t="str">
        <f t="shared" si="4"/>
        <v>2025</v>
      </c>
      <c r="K262" s="18" t="s">
        <v>650</v>
      </c>
      <c r="L262" s="18" t="s">
        <v>654</v>
      </c>
    </row>
    <row r="263" spans="1:12" x14ac:dyDescent="0.25">
      <c r="A263" t="s">
        <v>272</v>
      </c>
      <c r="B263" t="s">
        <v>565</v>
      </c>
      <c r="C263" s="18" t="s">
        <v>606</v>
      </c>
      <c r="D263" s="18" t="s">
        <v>624</v>
      </c>
      <c r="E263" s="4">
        <v>4</v>
      </c>
      <c r="F263">
        <v>76.209999999999994</v>
      </c>
      <c r="G263" s="4">
        <v>0.18</v>
      </c>
      <c r="H263" s="7">
        <v>249.96879999999999</v>
      </c>
      <c r="I263" s="12">
        <v>45576</v>
      </c>
      <c r="J263" s="12" t="str">
        <f t="shared" si="4"/>
        <v>2024</v>
      </c>
      <c r="K263" s="18" t="s">
        <v>646</v>
      </c>
      <c r="L263" s="18" t="s">
        <v>655</v>
      </c>
    </row>
    <row r="264" spans="1:12" x14ac:dyDescent="0.25">
      <c r="A264" t="s">
        <v>273</v>
      </c>
      <c r="B264" t="s">
        <v>566</v>
      </c>
      <c r="C264" s="18" t="s">
        <v>605</v>
      </c>
      <c r="D264" s="18" t="s">
        <v>656</v>
      </c>
      <c r="E264" s="4">
        <v>4</v>
      </c>
      <c r="F264">
        <v>15.17</v>
      </c>
      <c r="G264" s="4">
        <v>0.1</v>
      </c>
      <c r="H264" s="7">
        <v>54.612000000000002</v>
      </c>
      <c r="I264" s="12">
        <v>45047</v>
      </c>
      <c r="J264" s="12" t="str">
        <f t="shared" si="4"/>
        <v>2023</v>
      </c>
      <c r="K264" s="18" t="s">
        <v>648</v>
      </c>
      <c r="L264" s="18" t="s">
        <v>652</v>
      </c>
    </row>
    <row r="265" spans="1:12" x14ac:dyDescent="0.25">
      <c r="A265" t="s">
        <v>274</v>
      </c>
      <c r="B265" t="s">
        <v>567</v>
      </c>
      <c r="C265" s="18" t="s">
        <v>606</v>
      </c>
      <c r="D265" s="18" t="s">
        <v>618</v>
      </c>
      <c r="E265" s="4">
        <v>2</v>
      </c>
      <c r="F265">
        <v>224.18</v>
      </c>
      <c r="G265" s="4">
        <v>0.05</v>
      </c>
      <c r="H265" s="7">
        <v>425.94200000000001</v>
      </c>
      <c r="I265" s="12">
        <v>45480</v>
      </c>
      <c r="J265" s="12" t="str">
        <f t="shared" si="4"/>
        <v>2024</v>
      </c>
      <c r="K265" s="18" t="s">
        <v>650</v>
      </c>
      <c r="L265" s="18" t="s">
        <v>652</v>
      </c>
    </row>
    <row r="266" spans="1:12" x14ac:dyDescent="0.25">
      <c r="A266" t="s">
        <v>275</v>
      </c>
      <c r="B266" t="s">
        <v>568</v>
      </c>
      <c r="C266" s="18" t="s">
        <v>607</v>
      </c>
      <c r="D266" s="18" t="s">
        <v>634</v>
      </c>
      <c r="E266" s="4">
        <v>5</v>
      </c>
      <c r="F266">
        <v>428.21</v>
      </c>
      <c r="G266" s="4">
        <v>0.04</v>
      </c>
      <c r="H266" s="7">
        <v>2055.407999999999</v>
      </c>
      <c r="I266" s="12">
        <v>45573</v>
      </c>
      <c r="J266" s="12" t="str">
        <f t="shared" si="4"/>
        <v>2024</v>
      </c>
      <c r="K266" s="18" t="s">
        <v>649</v>
      </c>
      <c r="L266" s="18" t="s">
        <v>655</v>
      </c>
    </row>
    <row r="267" spans="1:12" x14ac:dyDescent="0.25">
      <c r="A267" t="s">
        <v>276</v>
      </c>
      <c r="B267" t="s">
        <v>569</v>
      </c>
      <c r="C267" s="18" t="s">
        <v>607</v>
      </c>
      <c r="D267" s="18" t="s">
        <v>615</v>
      </c>
      <c r="E267" s="4">
        <v>3</v>
      </c>
      <c r="F267">
        <v>224.82</v>
      </c>
      <c r="G267" s="4">
        <v>7.0000000000000007E-2</v>
      </c>
      <c r="H267" s="7">
        <v>627.24779999999998</v>
      </c>
      <c r="I267" s="12">
        <v>45208</v>
      </c>
      <c r="J267" s="12" t="str">
        <f t="shared" si="4"/>
        <v>2023</v>
      </c>
      <c r="K267" s="18" t="s">
        <v>649</v>
      </c>
      <c r="L267" s="18" t="s">
        <v>651</v>
      </c>
    </row>
    <row r="268" spans="1:12" x14ac:dyDescent="0.25">
      <c r="A268" t="s">
        <v>277</v>
      </c>
      <c r="B268" t="s">
        <v>570</v>
      </c>
      <c r="C268" s="18" t="s">
        <v>606</v>
      </c>
      <c r="D268" s="18" t="s">
        <v>618</v>
      </c>
      <c r="E268" s="4">
        <v>2</v>
      </c>
      <c r="F268">
        <v>202.29</v>
      </c>
      <c r="G268" s="4">
        <v>0.05</v>
      </c>
      <c r="H268" s="7">
        <v>384.35099999999989</v>
      </c>
      <c r="I268" s="12">
        <v>45174</v>
      </c>
      <c r="J268" s="12" t="str">
        <f t="shared" si="4"/>
        <v>2023</v>
      </c>
      <c r="K268" s="18" t="s">
        <v>647</v>
      </c>
      <c r="L268" s="18" t="s">
        <v>653</v>
      </c>
    </row>
    <row r="269" spans="1:12" x14ac:dyDescent="0.25">
      <c r="A269" t="s">
        <v>278</v>
      </c>
      <c r="B269" t="s">
        <v>571</v>
      </c>
      <c r="C269" s="18" t="s">
        <v>608</v>
      </c>
      <c r="D269" s="18" t="s">
        <v>620</v>
      </c>
      <c r="E269" s="4">
        <v>1</v>
      </c>
      <c r="F269">
        <v>387.79</v>
      </c>
      <c r="G269" s="4">
        <v>0.14000000000000001</v>
      </c>
      <c r="H269" s="7">
        <v>333.49939999999998</v>
      </c>
      <c r="I269" s="12">
        <v>45086</v>
      </c>
      <c r="J269" s="12" t="str">
        <f t="shared" si="4"/>
        <v>2023</v>
      </c>
      <c r="K269" s="18" t="s">
        <v>650</v>
      </c>
      <c r="L269" s="18" t="s">
        <v>653</v>
      </c>
    </row>
    <row r="270" spans="1:12" x14ac:dyDescent="0.25">
      <c r="A270" t="s">
        <v>279</v>
      </c>
      <c r="B270" t="s">
        <v>572</v>
      </c>
      <c r="C270" s="18" t="s">
        <v>609</v>
      </c>
      <c r="D270" s="18" t="s">
        <v>656</v>
      </c>
      <c r="E270" s="4">
        <v>1</v>
      </c>
      <c r="F270">
        <v>125.62</v>
      </c>
      <c r="G270" s="4">
        <v>0.1</v>
      </c>
      <c r="H270" s="7">
        <v>113.05800000000001</v>
      </c>
      <c r="I270" s="12">
        <v>45570</v>
      </c>
      <c r="J270" s="12" t="str">
        <f t="shared" si="4"/>
        <v>2024</v>
      </c>
      <c r="K270" s="18" t="s">
        <v>646</v>
      </c>
      <c r="L270" s="18" t="s">
        <v>654</v>
      </c>
    </row>
    <row r="271" spans="1:12" x14ac:dyDescent="0.25">
      <c r="A271" t="s">
        <v>280</v>
      </c>
      <c r="B271" t="s">
        <v>573</v>
      </c>
      <c r="C271" s="18" t="s">
        <v>604</v>
      </c>
      <c r="D271" s="18" t="s">
        <v>614</v>
      </c>
      <c r="E271" s="4">
        <v>2</v>
      </c>
      <c r="F271">
        <v>346.11</v>
      </c>
      <c r="G271" s="4">
        <v>0.28000000000000003</v>
      </c>
      <c r="H271" s="7">
        <v>498.39839999999998</v>
      </c>
      <c r="I271" s="12">
        <v>45423</v>
      </c>
      <c r="J271" s="12" t="str">
        <f t="shared" si="4"/>
        <v>2024</v>
      </c>
      <c r="K271" s="18" t="s">
        <v>647</v>
      </c>
      <c r="L271" s="18" t="s">
        <v>652</v>
      </c>
    </row>
    <row r="272" spans="1:12" x14ac:dyDescent="0.25">
      <c r="A272" t="s">
        <v>281</v>
      </c>
      <c r="B272" t="s">
        <v>574</v>
      </c>
      <c r="C272" s="18" t="s">
        <v>604</v>
      </c>
      <c r="D272" s="18" t="s">
        <v>614</v>
      </c>
      <c r="E272" s="4">
        <v>3</v>
      </c>
      <c r="F272">
        <v>20.46</v>
      </c>
      <c r="G272" s="4">
        <v>0.11</v>
      </c>
      <c r="H272" s="7">
        <v>54.6282</v>
      </c>
      <c r="I272" s="12">
        <v>45536</v>
      </c>
      <c r="J272" s="12" t="str">
        <f t="shared" si="4"/>
        <v>2024</v>
      </c>
      <c r="K272" s="18" t="s">
        <v>648</v>
      </c>
      <c r="L272" s="18" t="s">
        <v>655</v>
      </c>
    </row>
    <row r="273" spans="1:12" x14ac:dyDescent="0.25">
      <c r="A273" t="s">
        <v>282</v>
      </c>
      <c r="B273" t="s">
        <v>575</v>
      </c>
      <c r="C273" s="18" t="s">
        <v>607</v>
      </c>
      <c r="D273" s="18" t="s">
        <v>634</v>
      </c>
      <c r="E273" s="4">
        <v>4</v>
      </c>
      <c r="F273">
        <v>303.35000000000002</v>
      </c>
      <c r="G273" s="4">
        <v>0.02</v>
      </c>
      <c r="H273" s="7">
        <v>1189.1320000000001</v>
      </c>
      <c r="I273" s="12">
        <v>45078</v>
      </c>
      <c r="J273" s="12" t="str">
        <f t="shared" si="4"/>
        <v>2023</v>
      </c>
      <c r="K273" s="18" t="s">
        <v>646</v>
      </c>
      <c r="L273" s="18" t="s">
        <v>652</v>
      </c>
    </row>
    <row r="274" spans="1:12" x14ac:dyDescent="0.25">
      <c r="A274" t="s">
        <v>283</v>
      </c>
      <c r="B274" t="s">
        <v>576</v>
      </c>
      <c r="C274" s="18" t="s">
        <v>604</v>
      </c>
      <c r="D274" s="18" t="s">
        <v>633</v>
      </c>
      <c r="E274" s="4">
        <v>3</v>
      </c>
      <c r="F274">
        <v>41.04</v>
      </c>
      <c r="G274" s="4">
        <v>0.06</v>
      </c>
      <c r="H274" s="7">
        <v>115.7328</v>
      </c>
      <c r="I274" s="12">
        <v>45209</v>
      </c>
      <c r="J274" s="12" t="str">
        <f t="shared" si="4"/>
        <v>2023</v>
      </c>
      <c r="K274" s="18" t="s">
        <v>646</v>
      </c>
      <c r="L274" s="18" t="s">
        <v>652</v>
      </c>
    </row>
    <row r="275" spans="1:12" x14ac:dyDescent="0.25">
      <c r="A275" t="s">
        <v>284</v>
      </c>
      <c r="B275" t="s">
        <v>577</v>
      </c>
      <c r="C275" s="18" t="s">
        <v>609</v>
      </c>
      <c r="D275" s="18" t="s">
        <v>640</v>
      </c>
      <c r="E275" s="4">
        <v>2</v>
      </c>
      <c r="F275">
        <v>109.02</v>
      </c>
      <c r="G275" s="4">
        <v>0.06</v>
      </c>
      <c r="H275" s="7">
        <v>237.40343173825349</v>
      </c>
      <c r="I275" s="12">
        <v>45450</v>
      </c>
      <c r="J275" s="12" t="str">
        <f t="shared" si="4"/>
        <v>2024</v>
      </c>
      <c r="K275" s="18" t="s">
        <v>646</v>
      </c>
      <c r="L275" s="18" t="s">
        <v>655</v>
      </c>
    </row>
    <row r="276" spans="1:12" x14ac:dyDescent="0.25">
      <c r="A276" t="s">
        <v>285</v>
      </c>
      <c r="B276" t="s">
        <v>578</v>
      </c>
      <c r="C276" s="18" t="s">
        <v>609</v>
      </c>
      <c r="D276" s="18" t="s">
        <v>631</v>
      </c>
      <c r="E276" s="4">
        <v>3</v>
      </c>
      <c r="F276">
        <v>417.72</v>
      </c>
      <c r="G276" s="4">
        <v>0.24</v>
      </c>
      <c r="H276" s="7">
        <v>952.40160000000003</v>
      </c>
      <c r="I276" s="12">
        <v>44958</v>
      </c>
      <c r="J276" s="12" t="str">
        <f t="shared" si="4"/>
        <v>2023</v>
      </c>
      <c r="K276" s="18" t="s">
        <v>646</v>
      </c>
      <c r="L276" s="18" t="s">
        <v>651</v>
      </c>
    </row>
    <row r="277" spans="1:12" x14ac:dyDescent="0.25">
      <c r="A277" t="s">
        <v>286</v>
      </c>
      <c r="B277" t="s">
        <v>579</v>
      </c>
      <c r="C277" s="18" t="s">
        <v>610</v>
      </c>
      <c r="D277" s="18" t="s">
        <v>630</v>
      </c>
      <c r="E277" s="4">
        <v>3</v>
      </c>
      <c r="F277">
        <v>115.79</v>
      </c>
      <c r="G277" s="4">
        <v>0.03</v>
      </c>
      <c r="H277" s="7">
        <v>336.94889999999998</v>
      </c>
      <c r="I277" s="12">
        <v>45781</v>
      </c>
      <c r="J277" s="12" t="str">
        <f t="shared" si="4"/>
        <v>2025</v>
      </c>
      <c r="K277" s="18" t="s">
        <v>650</v>
      </c>
      <c r="L277" s="18" t="s">
        <v>654</v>
      </c>
    </row>
    <row r="278" spans="1:12" x14ac:dyDescent="0.25">
      <c r="A278" t="s">
        <v>287</v>
      </c>
      <c r="B278" t="s">
        <v>580</v>
      </c>
      <c r="C278" s="18" t="s">
        <v>607</v>
      </c>
      <c r="D278" s="18" t="s">
        <v>619</v>
      </c>
      <c r="E278" s="4">
        <v>5</v>
      </c>
      <c r="F278">
        <v>354.25</v>
      </c>
      <c r="G278" s="4">
        <v>0.26</v>
      </c>
      <c r="H278" s="7">
        <v>1310.7249999999999</v>
      </c>
      <c r="I278" s="12">
        <v>44989</v>
      </c>
      <c r="J278" s="12" t="str">
        <f t="shared" si="4"/>
        <v>2023</v>
      </c>
      <c r="K278" s="18" t="s">
        <v>646</v>
      </c>
      <c r="L278" s="18" t="s">
        <v>652</v>
      </c>
    </row>
    <row r="279" spans="1:12" x14ac:dyDescent="0.25">
      <c r="A279" t="s">
        <v>288</v>
      </c>
      <c r="B279" t="s">
        <v>581</v>
      </c>
      <c r="C279" s="18" t="s">
        <v>610</v>
      </c>
      <c r="D279" s="18" t="s">
        <v>630</v>
      </c>
      <c r="E279" s="4">
        <v>3</v>
      </c>
      <c r="F279">
        <v>320.29000000000002</v>
      </c>
      <c r="G279" s="4">
        <v>0.18</v>
      </c>
      <c r="H279" s="7">
        <v>787.91340000000014</v>
      </c>
      <c r="I279" s="12">
        <v>45508</v>
      </c>
      <c r="J279" s="12" t="str">
        <f t="shared" si="4"/>
        <v>2024</v>
      </c>
      <c r="K279" s="18" t="s">
        <v>646</v>
      </c>
      <c r="L279" s="18" t="s">
        <v>652</v>
      </c>
    </row>
    <row r="280" spans="1:12" x14ac:dyDescent="0.25">
      <c r="A280" t="s">
        <v>289</v>
      </c>
      <c r="B280" t="s">
        <v>582</v>
      </c>
      <c r="C280" s="18" t="s">
        <v>605</v>
      </c>
      <c r="D280" s="18" t="s">
        <v>630</v>
      </c>
      <c r="E280" s="4">
        <v>3</v>
      </c>
      <c r="F280">
        <v>492.35</v>
      </c>
      <c r="G280" s="4">
        <v>0.26</v>
      </c>
      <c r="H280" s="7">
        <v>1093.0170000000001</v>
      </c>
      <c r="I280" s="12">
        <v>44938</v>
      </c>
      <c r="J280" s="12" t="str">
        <f t="shared" si="4"/>
        <v>2023</v>
      </c>
      <c r="K280" s="18" t="s">
        <v>646</v>
      </c>
      <c r="L280" s="18" t="s">
        <v>655</v>
      </c>
    </row>
    <row r="281" spans="1:12" x14ac:dyDescent="0.25">
      <c r="A281" t="s">
        <v>290</v>
      </c>
      <c r="B281" t="s">
        <v>583</v>
      </c>
      <c r="C281" s="18" t="s">
        <v>608</v>
      </c>
      <c r="D281" s="18" t="s">
        <v>637</v>
      </c>
      <c r="E281" s="4">
        <v>3</v>
      </c>
      <c r="F281">
        <v>407.43</v>
      </c>
      <c r="G281" s="4">
        <v>0.17</v>
      </c>
      <c r="H281" s="7">
        <v>1014.5007000000001</v>
      </c>
      <c r="I281" s="12">
        <v>45569</v>
      </c>
      <c r="J281" s="12" t="str">
        <f t="shared" si="4"/>
        <v>2024</v>
      </c>
      <c r="K281" s="18" t="s">
        <v>649</v>
      </c>
      <c r="L281" s="18" t="s">
        <v>651</v>
      </c>
    </row>
    <row r="282" spans="1:12" x14ac:dyDescent="0.25">
      <c r="A282" t="s">
        <v>291</v>
      </c>
      <c r="B282" t="s">
        <v>584</v>
      </c>
      <c r="C282" s="18" t="s">
        <v>610</v>
      </c>
      <c r="D282" s="18" t="s">
        <v>621</v>
      </c>
      <c r="E282" s="4">
        <v>5</v>
      </c>
      <c r="F282">
        <v>37.4</v>
      </c>
      <c r="G282" s="4">
        <v>0.1</v>
      </c>
      <c r="H282" s="7">
        <v>168.3</v>
      </c>
      <c r="I282" s="12">
        <v>44965</v>
      </c>
      <c r="J282" s="12" t="str">
        <f t="shared" si="4"/>
        <v>2023</v>
      </c>
      <c r="K282" s="18" t="s">
        <v>650</v>
      </c>
      <c r="L282" s="18" t="s">
        <v>655</v>
      </c>
    </row>
    <row r="283" spans="1:12" x14ac:dyDescent="0.25">
      <c r="A283" t="s">
        <v>292</v>
      </c>
      <c r="B283" t="s">
        <v>585</v>
      </c>
      <c r="C283" s="18" t="s">
        <v>607</v>
      </c>
      <c r="D283" s="18" t="s">
        <v>639</v>
      </c>
      <c r="E283" s="4">
        <v>2</v>
      </c>
      <c r="F283">
        <v>118.19</v>
      </c>
      <c r="G283" s="4">
        <v>0.2</v>
      </c>
      <c r="H283" s="7">
        <v>189.10400000000001</v>
      </c>
      <c r="I283" s="12">
        <v>45420</v>
      </c>
      <c r="J283" s="12" t="str">
        <f t="shared" si="4"/>
        <v>2024</v>
      </c>
      <c r="K283" s="18" t="s">
        <v>650</v>
      </c>
      <c r="L283" s="18" t="s">
        <v>651</v>
      </c>
    </row>
    <row r="284" spans="1:12" x14ac:dyDescent="0.25">
      <c r="A284" t="s">
        <v>293</v>
      </c>
      <c r="B284" t="s">
        <v>586</v>
      </c>
      <c r="C284" s="18" t="s">
        <v>608</v>
      </c>
      <c r="D284" s="18" t="s">
        <v>636</v>
      </c>
      <c r="E284" s="4">
        <v>5</v>
      </c>
      <c r="F284">
        <v>205.28</v>
      </c>
      <c r="G284" s="4">
        <v>0.23</v>
      </c>
      <c r="H284" s="7">
        <v>790.32800000000009</v>
      </c>
      <c r="I284" s="12">
        <v>45233</v>
      </c>
      <c r="J284" s="12" t="str">
        <f t="shared" si="4"/>
        <v>2023</v>
      </c>
      <c r="K284" s="18" t="s">
        <v>646</v>
      </c>
      <c r="L284" s="18" t="s">
        <v>654</v>
      </c>
    </row>
    <row r="285" spans="1:12" x14ac:dyDescent="0.25">
      <c r="A285" t="s">
        <v>294</v>
      </c>
      <c r="B285" t="s">
        <v>587</v>
      </c>
      <c r="C285" s="18" t="s">
        <v>609</v>
      </c>
      <c r="D285" s="18" t="s">
        <v>629</v>
      </c>
      <c r="E285" s="4">
        <v>1</v>
      </c>
      <c r="F285">
        <v>168.47</v>
      </c>
      <c r="G285" s="4">
        <v>0.03</v>
      </c>
      <c r="H285" s="7">
        <v>163.41589999999999</v>
      </c>
      <c r="I285" s="12">
        <v>45114</v>
      </c>
      <c r="J285" s="12" t="str">
        <f t="shared" si="4"/>
        <v>2023</v>
      </c>
      <c r="K285" s="18" t="s">
        <v>650</v>
      </c>
      <c r="L285" s="18" t="s">
        <v>652</v>
      </c>
    </row>
    <row r="286" spans="1:12" x14ac:dyDescent="0.25">
      <c r="A286" t="s">
        <v>295</v>
      </c>
      <c r="B286" t="s">
        <v>588</v>
      </c>
      <c r="C286" s="18" t="s">
        <v>610</v>
      </c>
      <c r="D286" s="18" t="s">
        <v>630</v>
      </c>
      <c r="E286" s="4">
        <v>4</v>
      </c>
      <c r="F286">
        <v>462.86</v>
      </c>
      <c r="G286" s="4">
        <v>0.06</v>
      </c>
      <c r="H286" s="7">
        <v>1740.3535999999999</v>
      </c>
      <c r="I286" s="12">
        <v>45293</v>
      </c>
      <c r="J286" s="12" t="str">
        <f t="shared" si="4"/>
        <v>2024</v>
      </c>
      <c r="K286" s="18" t="s">
        <v>647</v>
      </c>
      <c r="L286" s="18" t="s">
        <v>654</v>
      </c>
    </row>
    <row r="287" spans="1:12" x14ac:dyDescent="0.25">
      <c r="A287" t="s">
        <v>296</v>
      </c>
      <c r="B287" t="s">
        <v>589</v>
      </c>
      <c r="C287" s="18" t="s">
        <v>609</v>
      </c>
      <c r="D287" s="18" t="s">
        <v>618</v>
      </c>
      <c r="E287" s="4">
        <v>4</v>
      </c>
      <c r="F287">
        <v>372.61</v>
      </c>
      <c r="G287" s="4">
        <v>0.06</v>
      </c>
      <c r="H287" s="7">
        <v>1401.0136</v>
      </c>
      <c r="I287" s="12">
        <v>45296</v>
      </c>
      <c r="J287" s="12" t="str">
        <f t="shared" si="4"/>
        <v>2024</v>
      </c>
      <c r="K287" s="18" t="s">
        <v>646</v>
      </c>
      <c r="L287" s="18" t="s">
        <v>654</v>
      </c>
    </row>
    <row r="288" spans="1:12" x14ac:dyDescent="0.25">
      <c r="A288" t="s">
        <v>297</v>
      </c>
      <c r="B288" t="s">
        <v>590</v>
      </c>
      <c r="C288" s="18" t="s">
        <v>609</v>
      </c>
      <c r="D288" s="18" t="s">
        <v>629</v>
      </c>
      <c r="E288" s="4">
        <v>2</v>
      </c>
      <c r="F288">
        <v>396.7</v>
      </c>
      <c r="G288" s="4">
        <v>0.02</v>
      </c>
      <c r="H288" s="7">
        <v>777.53199999999993</v>
      </c>
      <c r="I288" s="12">
        <v>45047</v>
      </c>
      <c r="J288" s="12" t="str">
        <f t="shared" si="4"/>
        <v>2023</v>
      </c>
      <c r="K288" s="18" t="s">
        <v>648</v>
      </c>
      <c r="L288" s="18" t="s">
        <v>652</v>
      </c>
    </row>
    <row r="289" spans="1:12" x14ac:dyDescent="0.25">
      <c r="A289" t="s">
        <v>298</v>
      </c>
      <c r="B289" t="s">
        <v>591</v>
      </c>
      <c r="C289" s="18" t="s">
        <v>605</v>
      </c>
      <c r="D289" s="18" t="s">
        <v>639</v>
      </c>
      <c r="E289" s="4">
        <v>4</v>
      </c>
      <c r="F289">
        <v>259.18</v>
      </c>
      <c r="G289" s="4">
        <v>0.27</v>
      </c>
      <c r="H289" s="7">
        <v>756.80560000000003</v>
      </c>
      <c r="I289" s="12">
        <v>44968</v>
      </c>
      <c r="J289" s="12" t="str">
        <f t="shared" si="4"/>
        <v>2023</v>
      </c>
      <c r="K289" s="18" t="s">
        <v>650</v>
      </c>
      <c r="L289" s="18" t="s">
        <v>654</v>
      </c>
    </row>
    <row r="290" spans="1:12" x14ac:dyDescent="0.25">
      <c r="A290" t="s">
        <v>299</v>
      </c>
      <c r="B290" t="s">
        <v>592</v>
      </c>
      <c r="C290" s="18" t="s">
        <v>607</v>
      </c>
      <c r="D290" s="18" t="s">
        <v>643</v>
      </c>
      <c r="E290" s="4">
        <v>2</v>
      </c>
      <c r="F290">
        <v>182.44</v>
      </c>
      <c r="G290" s="4">
        <v>7.0000000000000007E-2</v>
      </c>
      <c r="H290" s="7">
        <v>339.33839999999998</v>
      </c>
      <c r="I290" s="12">
        <v>45183</v>
      </c>
      <c r="J290" s="12" t="str">
        <f t="shared" si="4"/>
        <v>2023</v>
      </c>
      <c r="K290" s="18" t="s">
        <v>647</v>
      </c>
      <c r="L290" s="18" t="s">
        <v>652</v>
      </c>
    </row>
    <row r="291" spans="1:12" x14ac:dyDescent="0.25">
      <c r="A291" t="s">
        <v>300</v>
      </c>
      <c r="B291" t="s">
        <v>593</v>
      </c>
      <c r="C291" s="18" t="s">
        <v>610</v>
      </c>
      <c r="D291" s="18" t="s">
        <v>637</v>
      </c>
      <c r="E291" s="4">
        <v>4</v>
      </c>
      <c r="F291">
        <v>197.28</v>
      </c>
      <c r="G291" s="4">
        <v>0.13</v>
      </c>
      <c r="H291" s="7">
        <v>686.53440000000001</v>
      </c>
      <c r="I291" s="12">
        <v>45145</v>
      </c>
      <c r="J291" s="12" t="str">
        <f t="shared" si="4"/>
        <v>2023</v>
      </c>
      <c r="K291" s="18" t="s">
        <v>646</v>
      </c>
      <c r="L291" s="18" t="s">
        <v>652</v>
      </c>
    </row>
    <row r="292" spans="1:12" x14ac:dyDescent="0.25">
      <c r="A292" t="s">
        <v>301</v>
      </c>
      <c r="B292" t="s">
        <v>594</v>
      </c>
      <c r="C292" s="18" t="s">
        <v>609</v>
      </c>
      <c r="D292" s="18" t="s">
        <v>625</v>
      </c>
      <c r="E292" s="4">
        <v>3</v>
      </c>
      <c r="F292">
        <v>455.41</v>
      </c>
      <c r="G292" s="4">
        <v>0.2</v>
      </c>
      <c r="H292" s="7">
        <v>1092.9839999999999</v>
      </c>
      <c r="I292" s="12">
        <v>45007</v>
      </c>
      <c r="J292" s="12" t="str">
        <f t="shared" si="4"/>
        <v>2023</v>
      </c>
      <c r="K292" s="18" t="s">
        <v>647</v>
      </c>
      <c r="L292" s="18" t="s">
        <v>655</v>
      </c>
    </row>
    <row r="293" spans="1:12" x14ac:dyDescent="0.25">
      <c r="A293" t="s">
        <v>302</v>
      </c>
      <c r="B293" t="s">
        <v>595</v>
      </c>
      <c r="C293" s="18" t="s">
        <v>604</v>
      </c>
      <c r="D293" s="18" t="s">
        <v>633</v>
      </c>
      <c r="E293" s="4">
        <v>4</v>
      </c>
      <c r="F293">
        <v>375.35</v>
      </c>
      <c r="G293" s="4">
        <v>0.05</v>
      </c>
      <c r="H293" s="7">
        <v>1426.33</v>
      </c>
      <c r="I293" s="12">
        <v>45172</v>
      </c>
      <c r="J293" s="12" t="str">
        <f t="shared" si="4"/>
        <v>2023</v>
      </c>
      <c r="K293" s="18" t="s">
        <v>647</v>
      </c>
      <c r="L293" s="18" t="s">
        <v>655</v>
      </c>
    </row>
    <row r="294" spans="1:12" x14ac:dyDescent="0.25">
      <c r="A294" t="s">
        <v>303</v>
      </c>
      <c r="B294" t="s">
        <v>596</v>
      </c>
      <c r="C294" s="18" t="s">
        <v>604</v>
      </c>
      <c r="D294" s="18" t="s">
        <v>633</v>
      </c>
      <c r="E294" s="4">
        <v>4</v>
      </c>
      <c r="F294">
        <v>306.31</v>
      </c>
      <c r="G294" s="4">
        <v>0.06</v>
      </c>
      <c r="H294" s="7">
        <v>1151.7256</v>
      </c>
      <c r="I294" s="12">
        <v>45846</v>
      </c>
      <c r="J294" s="12" t="str">
        <f t="shared" si="4"/>
        <v>2025</v>
      </c>
      <c r="K294" s="18" t="s">
        <v>650</v>
      </c>
      <c r="L294" s="18" t="s">
        <v>654</v>
      </c>
    </row>
    <row r="295" spans="1:12" x14ac:dyDescent="0.25">
      <c r="A295" t="s">
        <v>304</v>
      </c>
      <c r="B295" t="s">
        <v>597</v>
      </c>
      <c r="C295" s="18" t="s">
        <v>608</v>
      </c>
      <c r="D295" s="18" t="s">
        <v>620</v>
      </c>
      <c r="E295" s="4">
        <v>2</v>
      </c>
      <c r="F295">
        <v>464.28</v>
      </c>
      <c r="G295" s="4">
        <v>0.26</v>
      </c>
      <c r="H295" s="7">
        <v>687.13439999999991</v>
      </c>
      <c r="I295" s="12">
        <v>45388</v>
      </c>
      <c r="J295" s="12" t="str">
        <f t="shared" si="4"/>
        <v>2024</v>
      </c>
      <c r="K295" s="18" t="s">
        <v>646</v>
      </c>
      <c r="L295" s="18" t="s">
        <v>651</v>
      </c>
    </row>
    <row r="296" spans="1:12" x14ac:dyDescent="0.25">
      <c r="A296" t="s">
        <v>305</v>
      </c>
      <c r="B296" t="s">
        <v>598</v>
      </c>
      <c r="C296" s="18" t="s">
        <v>608</v>
      </c>
      <c r="D296" s="18" t="s">
        <v>636</v>
      </c>
      <c r="E296" s="4">
        <v>5</v>
      </c>
      <c r="F296">
        <v>231.29</v>
      </c>
      <c r="G296" s="4">
        <v>0.26</v>
      </c>
      <c r="H296" s="7">
        <v>855.77300000000002</v>
      </c>
      <c r="I296" s="12">
        <v>44995</v>
      </c>
      <c r="J296" s="12" t="str">
        <f t="shared" si="4"/>
        <v>2023</v>
      </c>
      <c r="K296" s="18" t="s">
        <v>647</v>
      </c>
      <c r="L296" s="18" t="s">
        <v>655</v>
      </c>
    </row>
    <row r="297" spans="1:12" x14ac:dyDescent="0.25">
      <c r="A297" t="s">
        <v>306</v>
      </c>
      <c r="B297" t="s">
        <v>599</v>
      </c>
      <c r="C297" s="18" t="s">
        <v>608</v>
      </c>
      <c r="D297" s="18" t="s">
        <v>622</v>
      </c>
      <c r="E297" s="4">
        <v>3</v>
      </c>
      <c r="F297">
        <v>154.27000000000001</v>
      </c>
      <c r="G297" s="4">
        <v>0.21</v>
      </c>
      <c r="H297" s="7">
        <v>365.61990000000009</v>
      </c>
      <c r="I297" s="12">
        <v>45696</v>
      </c>
      <c r="J297" s="12" t="str">
        <f t="shared" si="4"/>
        <v>2025</v>
      </c>
      <c r="K297" s="18" t="s">
        <v>647</v>
      </c>
      <c r="L297" s="18" t="s">
        <v>655</v>
      </c>
    </row>
    <row r="298" spans="1:12" x14ac:dyDescent="0.25">
      <c r="A298" t="s">
        <v>307</v>
      </c>
      <c r="B298" t="s">
        <v>600</v>
      </c>
      <c r="C298" s="18" t="s">
        <v>608</v>
      </c>
      <c r="D298" s="18" t="s">
        <v>635</v>
      </c>
      <c r="E298" s="4">
        <v>2</v>
      </c>
      <c r="F298">
        <v>359.19</v>
      </c>
      <c r="G298" s="4">
        <v>0.26</v>
      </c>
      <c r="H298" s="7">
        <v>548.48086422657775</v>
      </c>
      <c r="I298" s="12">
        <v>45788</v>
      </c>
      <c r="J298" s="12" t="str">
        <f t="shared" si="4"/>
        <v>2025</v>
      </c>
      <c r="K298" s="18" t="s">
        <v>647</v>
      </c>
      <c r="L298" s="18" t="s">
        <v>653</v>
      </c>
    </row>
    <row r="299" spans="1:12" x14ac:dyDescent="0.25">
      <c r="A299" t="s">
        <v>308</v>
      </c>
      <c r="B299" t="s">
        <v>601</v>
      </c>
      <c r="C299" s="18" t="s">
        <v>609</v>
      </c>
      <c r="D299" s="18" t="s">
        <v>636</v>
      </c>
      <c r="E299" s="4">
        <v>2</v>
      </c>
      <c r="F299">
        <v>31.51</v>
      </c>
      <c r="G299" s="4">
        <v>0.27</v>
      </c>
      <c r="H299" s="7">
        <v>46.004600000000003</v>
      </c>
      <c r="I299" s="12">
        <v>45028</v>
      </c>
      <c r="J299" s="12" t="str">
        <f t="shared" si="4"/>
        <v>2023</v>
      </c>
      <c r="K299" s="18" t="s">
        <v>650</v>
      </c>
      <c r="L299" s="18" t="s">
        <v>654</v>
      </c>
    </row>
    <row r="300" spans="1:12" x14ac:dyDescent="0.25">
      <c r="A300" t="s">
        <v>309</v>
      </c>
      <c r="B300" t="s">
        <v>602</v>
      </c>
      <c r="C300" s="18" t="s">
        <v>609</v>
      </c>
      <c r="D300" s="18" t="s">
        <v>627</v>
      </c>
      <c r="E300" s="4">
        <v>2</v>
      </c>
      <c r="F300">
        <v>480.61</v>
      </c>
      <c r="G300" s="4">
        <v>0.19</v>
      </c>
      <c r="H300" s="7">
        <v>778.58820000000003</v>
      </c>
      <c r="I300" s="12">
        <v>45604</v>
      </c>
      <c r="J300" s="12" t="str">
        <f t="shared" si="4"/>
        <v>2024</v>
      </c>
      <c r="K300" s="18" t="s">
        <v>648</v>
      </c>
      <c r="L300" s="18" t="s">
        <v>655</v>
      </c>
    </row>
    <row r="301" spans="1:12" x14ac:dyDescent="0.25">
      <c r="A301" t="s">
        <v>310</v>
      </c>
      <c r="B301" t="s">
        <v>603</v>
      </c>
      <c r="C301" s="18" t="s">
        <v>607</v>
      </c>
      <c r="D301" s="18" t="s">
        <v>619</v>
      </c>
      <c r="E301" s="4">
        <v>4</v>
      </c>
      <c r="F301">
        <v>13.22</v>
      </c>
      <c r="G301" s="4">
        <v>0.19</v>
      </c>
      <c r="H301" s="7">
        <v>42.832800000000013</v>
      </c>
      <c r="I301" s="12">
        <v>45416</v>
      </c>
      <c r="J301" s="12" t="str">
        <f t="shared" si="4"/>
        <v>2024</v>
      </c>
      <c r="K301" s="18" t="s">
        <v>650</v>
      </c>
      <c r="L301" s="18" t="s">
        <v>654</v>
      </c>
    </row>
    <row r="302" spans="1:12" x14ac:dyDescent="0.25">
      <c r="A302" t="s">
        <v>85</v>
      </c>
      <c r="B302" t="s">
        <v>385</v>
      </c>
      <c r="C302" s="18" t="s">
        <v>609</v>
      </c>
      <c r="D302" s="18" t="s">
        <v>627</v>
      </c>
      <c r="E302" s="4">
        <v>5</v>
      </c>
      <c r="F302">
        <v>442.2</v>
      </c>
      <c r="G302" s="4">
        <v>0.26</v>
      </c>
      <c r="H302" s="7">
        <v>1636.14</v>
      </c>
      <c r="I302" s="12">
        <v>45476</v>
      </c>
      <c r="J302" s="12" t="str">
        <f t="shared" si="4"/>
        <v>2024</v>
      </c>
      <c r="K302" s="18" t="s">
        <v>647</v>
      </c>
      <c r="L302" s="18" t="s">
        <v>651</v>
      </c>
    </row>
    <row r="303" spans="1:12" x14ac:dyDescent="0.25">
      <c r="A303" t="s">
        <v>27</v>
      </c>
      <c r="B303" t="s">
        <v>327</v>
      </c>
      <c r="C303" s="18" t="s">
        <v>606</v>
      </c>
      <c r="D303" s="18" t="s">
        <v>613</v>
      </c>
      <c r="E303" s="4">
        <v>3</v>
      </c>
      <c r="F303">
        <v>60.76</v>
      </c>
      <c r="G303" s="4">
        <v>0.08</v>
      </c>
      <c r="H303" s="7">
        <v>167.69759999999999</v>
      </c>
      <c r="I303" s="12">
        <v>45628</v>
      </c>
      <c r="J303" s="12" t="str">
        <f t="shared" si="4"/>
        <v>2024</v>
      </c>
      <c r="K303" s="18" t="s">
        <v>649</v>
      </c>
      <c r="L303" s="18" t="s">
        <v>652</v>
      </c>
    </row>
    <row r="304" spans="1:12" x14ac:dyDescent="0.25">
      <c r="A304" t="s">
        <v>306</v>
      </c>
      <c r="B304" t="s">
        <v>599</v>
      </c>
      <c r="C304" s="18" t="s">
        <v>608</v>
      </c>
      <c r="D304" s="18" t="s">
        <v>622</v>
      </c>
      <c r="E304" s="4">
        <v>3</v>
      </c>
      <c r="F304">
        <v>154.27000000000001</v>
      </c>
      <c r="G304" s="4">
        <v>0.21</v>
      </c>
      <c r="H304" s="7">
        <v>365.61990000000009</v>
      </c>
      <c r="I304" s="12">
        <v>45696</v>
      </c>
      <c r="J304" s="12" t="str">
        <f t="shared" si="4"/>
        <v>2025</v>
      </c>
      <c r="K304" s="18" t="s">
        <v>647</v>
      </c>
      <c r="L304" s="18" t="s">
        <v>655</v>
      </c>
    </row>
    <row r="305" spans="1:12" x14ac:dyDescent="0.25">
      <c r="A305" t="s">
        <v>163</v>
      </c>
      <c r="B305" t="s">
        <v>462</v>
      </c>
      <c r="C305" s="18" t="s">
        <v>609</v>
      </c>
      <c r="D305" s="18" t="s">
        <v>627</v>
      </c>
      <c r="E305" s="4">
        <v>5</v>
      </c>
      <c r="F305">
        <v>193.83</v>
      </c>
      <c r="G305" s="4">
        <v>0.19</v>
      </c>
      <c r="H305" s="7">
        <v>785.01150000000007</v>
      </c>
      <c r="I305" s="12">
        <v>45414</v>
      </c>
      <c r="J305" s="12" t="str">
        <f t="shared" si="4"/>
        <v>2024</v>
      </c>
      <c r="K305" s="18" t="s">
        <v>646</v>
      </c>
      <c r="L305" s="18" t="s">
        <v>652</v>
      </c>
    </row>
    <row r="306" spans="1:12" x14ac:dyDescent="0.25">
      <c r="A306" t="s">
        <v>180</v>
      </c>
      <c r="B306" t="s">
        <v>479</v>
      </c>
      <c r="C306" s="18" t="s">
        <v>610</v>
      </c>
      <c r="D306" s="18" t="s">
        <v>643</v>
      </c>
      <c r="E306" s="4">
        <v>4</v>
      </c>
      <c r="F306">
        <v>143.26</v>
      </c>
      <c r="G306" s="4">
        <v>0.28000000000000003</v>
      </c>
      <c r="H306" s="7">
        <v>412.58879999999988</v>
      </c>
      <c r="I306" s="12">
        <v>45726</v>
      </c>
      <c r="J306" s="12" t="str">
        <f t="shared" si="4"/>
        <v>2025</v>
      </c>
      <c r="K306" s="18" t="s">
        <v>650</v>
      </c>
      <c r="L306" s="18" t="s">
        <v>653</v>
      </c>
    </row>
    <row r="307" spans="1:12" x14ac:dyDescent="0.25">
      <c r="A307" t="s">
        <v>55</v>
      </c>
      <c r="B307" t="s">
        <v>355</v>
      </c>
      <c r="C307" s="18" t="s">
        <v>606</v>
      </c>
      <c r="D307" s="18" t="s">
        <v>628</v>
      </c>
      <c r="E307" s="4">
        <v>4</v>
      </c>
      <c r="F307">
        <v>296.81</v>
      </c>
      <c r="G307" s="4">
        <v>0.28999999999999998</v>
      </c>
      <c r="H307" s="7">
        <v>842.94039999999995</v>
      </c>
      <c r="I307" s="12">
        <v>45136</v>
      </c>
      <c r="J307" s="12" t="str">
        <f t="shared" si="4"/>
        <v>2023</v>
      </c>
      <c r="K307" s="18" t="s">
        <v>649</v>
      </c>
      <c r="L307" s="18" t="s">
        <v>653</v>
      </c>
    </row>
    <row r="308" spans="1:12" x14ac:dyDescent="0.25">
      <c r="A308" t="s">
        <v>36</v>
      </c>
      <c r="B308" t="s">
        <v>336</v>
      </c>
      <c r="C308" s="18" t="s">
        <v>609</v>
      </c>
      <c r="D308" s="18" t="s">
        <v>629</v>
      </c>
      <c r="E308" s="4">
        <v>4</v>
      </c>
      <c r="F308">
        <v>82.31</v>
      </c>
      <c r="G308" s="4">
        <v>0.27</v>
      </c>
      <c r="H308" s="7">
        <v>240.34520000000001</v>
      </c>
      <c r="I308" s="12">
        <v>45628</v>
      </c>
      <c r="J308" s="12" t="str">
        <f t="shared" si="4"/>
        <v>2024</v>
      </c>
      <c r="K308" s="18" t="s">
        <v>650</v>
      </c>
      <c r="L308" s="18" t="s">
        <v>654</v>
      </c>
    </row>
    <row r="309" spans="1:12" x14ac:dyDescent="0.25">
      <c r="A309" t="s">
        <v>66</v>
      </c>
      <c r="B309" t="s">
        <v>366</v>
      </c>
      <c r="C309" s="18" t="s">
        <v>610</v>
      </c>
      <c r="D309" s="18" t="s">
        <v>656</v>
      </c>
      <c r="E309" s="4">
        <v>5</v>
      </c>
      <c r="F309">
        <v>363.25</v>
      </c>
      <c r="G309" s="4">
        <v>0.19</v>
      </c>
      <c r="H309" s="7">
        <v>1471.1624999999999</v>
      </c>
      <c r="I309" s="12">
        <v>45727</v>
      </c>
      <c r="J309" s="12" t="str">
        <f t="shared" si="4"/>
        <v>2025</v>
      </c>
      <c r="K309" s="18" t="s">
        <v>649</v>
      </c>
      <c r="L309" s="18" t="s">
        <v>651</v>
      </c>
    </row>
    <row r="310" spans="1:12" x14ac:dyDescent="0.25">
      <c r="A310" t="s">
        <v>224</v>
      </c>
      <c r="B310" t="s">
        <v>522</v>
      </c>
      <c r="C310" s="18" t="s">
        <v>605</v>
      </c>
      <c r="D310" s="18" t="s">
        <v>613</v>
      </c>
      <c r="E310" s="4">
        <v>3</v>
      </c>
      <c r="F310">
        <v>233.54</v>
      </c>
      <c r="G310" s="4">
        <v>0.11</v>
      </c>
      <c r="H310" s="7">
        <v>635.47478760541935</v>
      </c>
      <c r="I310" s="12">
        <v>45159</v>
      </c>
      <c r="J310" s="12" t="str">
        <f t="shared" si="4"/>
        <v>2023</v>
      </c>
      <c r="K310" s="18" t="s">
        <v>646</v>
      </c>
      <c r="L310" s="18" t="s">
        <v>655</v>
      </c>
    </row>
    <row r="311" spans="1:12" x14ac:dyDescent="0.25">
      <c r="A311" t="s">
        <v>102</v>
      </c>
      <c r="B311" t="s">
        <v>402</v>
      </c>
      <c r="C311" s="18" t="s">
        <v>609</v>
      </c>
      <c r="D311" s="18" t="s">
        <v>625</v>
      </c>
      <c r="E311" s="4">
        <v>2</v>
      </c>
      <c r="F311">
        <v>243.88561461794012</v>
      </c>
      <c r="G311" s="4">
        <v>0.11</v>
      </c>
      <c r="H311" s="7">
        <v>434.11639401993341</v>
      </c>
      <c r="I311" s="12">
        <v>45453</v>
      </c>
      <c r="J311" s="12" t="str">
        <f t="shared" si="4"/>
        <v>2024</v>
      </c>
      <c r="K311" s="18" t="s">
        <v>646</v>
      </c>
      <c r="L311" s="18" t="s">
        <v>654</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13DD3-B4AD-43DF-AC63-FE3CCC5B9631}">
  <dimension ref="B1:K11"/>
  <sheetViews>
    <sheetView workbookViewId="0">
      <selection activeCell="Q16" sqref="Q16"/>
    </sheetView>
  </sheetViews>
  <sheetFormatPr defaultRowHeight="15" x14ac:dyDescent="0.25"/>
  <cols>
    <col min="1" max="1" width="14.5703125" bestFit="1" customWidth="1"/>
    <col min="2" max="2" width="16.42578125" style="7" bestFit="1" customWidth="1"/>
    <col min="5" max="5" width="21" bestFit="1" customWidth="1"/>
    <col min="6" max="6" width="12.7109375" bestFit="1" customWidth="1"/>
  </cols>
  <sheetData>
    <row r="1" spans="2:11" x14ac:dyDescent="0.25">
      <c r="B1" s="19" t="s">
        <v>662</v>
      </c>
      <c r="C1" s="19"/>
      <c r="D1" s="19"/>
      <c r="E1" s="19"/>
      <c r="F1" s="19"/>
      <c r="G1" s="19"/>
      <c r="H1" s="19"/>
      <c r="I1" s="19"/>
      <c r="J1" s="19"/>
      <c r="K1" s="19"/>
    </row>
    <row r="2" spans="2:11" x14ac:dyDescent="0.25">
      <c r="B2" s="19"/>
      <c r="C2" s="19"/>
      <c r="D2" s="19"/>
      <c r="E2" s="19"/>
      <c r="F2" s="19"/>
      <c r="G2" s="19"/>
      <c r="H2" s="19"/>
      <c r="I2" s="19"/>
      <c r="J2" s="19"/>
      <c r="K2" s="19"/>
    </row>
    <row r="3" spans="2:11" x14ac:dyDescent="0.25">
      <c r="B3" s="19"/>
      <c r="C3" s="19"/>
      <c r="D3" s="19"/>
      <c r="E3" s="19"/>
      <c r="F3" s="19"/>
      <c r="G3" s="19"/>
      <c r="H3" s="19"/>
      <c r="I3" s="19"/>
      <c r="J3" s="19"/>
      <c r="K3" s="19"/>
    </row>
    <row r="5" spans="2:11" x14ac:dyDescent="0.25">
      <c r="E5" s="9" t="s">
        <v>663</v>
      </c>
      <c r="F5" s="13" t="s">
        <v>660</v>
      </c>
    </row>
    <row r="6" spans="2:11" x14ac:dyDescent="0.25">
      <c r="E6" s="8" t="s">
        <v>655</v>
      </c>
      <c r="F6" s="7">
        <v>36525.4932422536</v>
      </c>
    </row>
    <row r="7" spans="2:11" x14ac:dyDescent="0.25">
      <c r="E7" s="8" t="s">
        <v>653</v>
      </c>
      <c r="F7" s="7">
        <v>42220.631265466807</v>
      </c>
    </row>
    <row r="8" spans="2:11" x14ac:dyDescent="0.25">
      <c r="E8" s="8" t="s">
        <v>654</v>
      </c>
      <c r="F8" s="7">
        <v>40115.80531607</v>
      </c>
    </row>
    <row r="9" spans="2:11" x14ac:dyDescent="0.25">
      <c r="E9" s="8" t="s">
        <v>652</v>
      </c>
      <c r="F9" s="7">
        <v>39032.948435880389</v>
      </c>
    </row>
    <row r="10" spans="2:11" x14ac:dyDescent="0.25">
      <c r="E10" s="8" t="s">
        <v>651</v>
      </c>
      <c r="F10" s="7">
        <v>45755.461340972419</v>
      </c>
    </row>
    <row r="11" spans="2:11" x14ac:dyDescent="0.25">
      <c r="E11" s="8" t="s">
        <v>657</v>
      </c>
      <c r="F11" s="7">
        <v>203650.33960064329</v>
      </c>
    </row>
  </sheetData>
  <mergeCells count="1">
    <mergeCell ref="B1:K3"/>
  </mergeCells>
  <pageMargins left="0.7" right="0.7" top="0.75" bottom="0.75" header="0.3" footer="0.3"/>
  <pageSetup paperSize="9" orientation="landscape"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A57BF-A67B-4513-ADEA-4E88D2A47B70}">
  <dimension ref="A1:K13"/>
  <sheetViews>
    <sheetView workbookViewId="0">
      <selection activeCell="N23" sqref="N23"/>
    </sheetView>
  </sheetViews>
  <sheetFormatPr defaultRowHeight="15" x14ac:dyDescent="0.25"/>
  <cols>
    <col min="1" max="1" width="14.28515625" bestFit="1" customWidth="1"/>
    <col min="2" max="2" width="14.85546875" bestFit="1" customWidth="1"/>
    <col min="3" max="3" width="16.42578125" bestFit="1" customWidth="1"/>
    <col min="4" max="4" width="15.42578125" bestFit="1" customWidth="1"/>
    <col min="5" max="5" width="9.85546875" bestFit="1" customWidth="1"/>
    <col min="6" max="6" width="12.7109375" bestFit="1" customWidth="1"/>
  </cols>
  <sheetData>
    <row r="1" spans="1:11" x14ac:dyDescent="0.25">
      <c r="A1" s="19" t="s">
        <v>661</v>
      </c>
      <c r="B1" s="19"/>
      <c r="C1" s="19"/>
      <c r="D1" s="19"/>
      <c r="E1" s="19"/>
      <c r="F1" s="19"/>
      <c r="G1" s="19"/>
      <c r="H1" s="19"/>
      <c r="I1" s="19"/>
      <c r="J1" s="19"/>
      <c r="K1" s="19"/>
    </row>
    <row r="2" spans="1:11" x14ac:dyDescent="0.25">
      <c r="A2" s="19"/>
      <c r="B2" s="19"/>
      <c r="C2" s="19"/>
      <c r="D2" s="19"/>
      <c r="E2" s="19"/>
      <c r="F2" s="19"/>
      <c r="G2" s="19"/>
      <c r="H2" s="19"/>
      <c r="I2" s="19"/>
      <c r="J2" s="19"/>
      <c r="K2" s="19"/>
    </row>
    <row r="3" spans="1:11" x14ac:dyDescent="0.25">
      <c r="A3" s="19"/>
      <c r="B3" s="19"/>
      <c r="C3" s="19"/>
      <c r="D3" s="19"/>
      <c r="E3" s="19"/>
      <c r="F3" s="19"/>
      <c r="G3" s="19"/>
      <c r="H3" s="19"/>
      <c r="I3" s="19"/>
      <c r="J3" s="19"/>
      <c r="K3" s="19"/>
    </row>
    <row r="5" spans="1:11" x14ac:dyDescent="0.25">
      <c r="D5" s="9" t="s">
        <v>658</v>
      </c>
      <c r="E5" s="10" t="s">
        <v>659</v>
      </c>
      <c r="F5" s="10" t="s">
        <v>660</v>
      </c>
    </row>
    <row r="6" spans="1:11" x14ac:dyDescent="0.25">
      <c r="D6" s="8" t="s">
        <v>609</v>
      </c>
      <c r="E6" s="4">
        <v>145</v>
      </c>
      <c r="F6" s="7">
        <v>26394.72016030968</v>
      </c>
    </row>
    <row r="7" spans="1:11" x14ac:dyDescent="0.25">
      <c r="D7" s="8" t="s">
        <v>608</v>
      </c>
      <c r="E7" s="4">
        <v>135</v>
      </c>
      <c r="F7" s="7">
        <v>29122.527152770414</v>
      </c>
    </row>
    <row r="8" spans="1:11" x14ac:dyDescent="0.25">
      <c r="D8" s="8" t="s">
        <v>604</v>
      </c>
      <c r="E8" s="4">
        <v>148</v>
      </c>
      <c r="F8" s="7">
        <v>32424.544658288822</v>
      </c>
    </row>
    <row r="9" spans="1:11" x14ac:dyDescent="0.25">
      <c r="D9" s="8" t="s">
        <v>605</v>
      </c>
      <c r="E9" s="4">
        <v>110</v>
      </c>
      <c r="F9" s="7">
        <v>23819.068275210841</v>
      </c>
    </row>
    <row r="10" spans="1:11" x14ac:dyDescent="0.25">
      <c r="D10" s="8" t="s">
        <v>610</v>
      </c>
      <c r="E10" s="4">
        <v>133</v>
      </c>
      <c r="F10" s="7">
        <v>31879.363639410141</v>
      </c>
    </row>
    <row r="11" spans="1:11" x14ac:dyDescent="0.25">
      <c r="D11" s="8" t="s">
        <v>606</v>
      </c>
      <c r="E11" s="4">
        <v>143</v>
      </c>
      <c r="F11" s="7">
        <v>26405.463473223961</v>
      </c>
    </row>
    <row r="12" spans="1:11" x14ac:dyDescent="0.25">
      <c r="D12" s="8" t="s">
        <v>607</v>
      </c>
      <c r="E12" s="4">
        <v>155</v>
      </c>
      <c r="F12" s="7">
        <v>33604.652241429387</v>
      </c>
    </row>
    <row r="13" spans="1:11" x14ac:dyDescent="0.25">
      <c r="D13" s="8" t="s">
        <v>657</v>
      </c>
      <c r="E13" s="4">
        <v>969</v>
      </c>
      <c r="F13" s="7">
        <v>203650.33960064326</v>
      </c>
    </row>
  </sheetData>
  <mergeCells count="1">
    <mergeCell ref="A1:K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ED28E-1D29-4C9C-AFB7-16C6081C02B1}">
  <dimension ref="C1:L83"/>
  <sheetViews>
    <sheetView workbookViewId="0">
      <selection activeCell="S25" sqref="S25"/>
    </sheetView>
  </sheetViews>
  <sheetFormatPr defaultRowHeight="15" x14ac:dyDescent="0.25"/>
  <cols>
    <col min="1" max="1" width="14.28515625" bestFit="1" customWidth="1"/>
    <col min="2" max="2" width="8.28515625" bestFit="1" customWidth="1"/>
    <col min="3" max="3" width="10.5703125" style="7" bestFit="1" customWidth="1"/>
    <col min="6" max="6" width="18.28515625" bestFit="1" customWidth="1"/>
    <col min="7" max="7" width="8.7109375" bestFit="1" customWidth="1"/>
    <col min="8" max="8" width="9.85546875" bestFit="1" customWidth="1"/>
  </cols>
  <sheetData>
    <row r="1" spans="3:12" x14ac:dyDescent="0.25">
      <c r="C1" s="19" t="s">
        <v>665</v>
      </c>
      <c r="D1" s="19"/>
      <c r="E1" s="19"/>
      <c r="F1" s="19"/>
      <c r="G1" s="19"/>
      <c r="H1" s="19"/>
      <c r="I1" s="19"/>
      <c r="J1" s="19"/>
      <c r="K1" s="19"/>
      <c r="L1" s="19"/>
    </row>
    <row r="2" spans="3:12" x14ac:dyDescent="0.25">
      <c r="C2" s="19"/>
      <c r="D2" s="19"/>
      <c r="E2" s="19"/>
      <c r="F2" s="19"/>
      <c r="G2" s="19"/>
      <c r="H2" s="19"/>
      <c r="I2" s="19"/>
      <c r="J2" s="19"/>
      <c r="K2" s="19"/>
      <c r="L2" s="19"/>
    </row>
    <row r="3" spans="3:12" x14ac:dyDescent="0.25">
      <c r="C3" s="19"/>
      <c r="D3" s="19"/>
      <c r="E3" s="19"/>
      <c r="F3" s="19"/>
      <c r="G3" s="19"/>
      <c r="H3" s="19"/>
      <c r="I3" s="19"/>
      <c r="J3" s="19"/>
      <c r="K3" s="19"/>
      <c r="L3" s="19"/>
    </row>
    <row r="5" spans="3:12" x14ac:dyDescent="0.25">
      <c r="F5" s="11" t="s">
        <v>664</v>
      </c>
      <c r="G5" t="s">
        <v>6</v>
      </c>
      <c r="H5" t="s">
        <v>659</v>
      </c>
    </row>
    <row r="6" spans="3:12" x14ac:dyDescent="0.25">
      <c r="F6" s="8" t="s">
        <v>609</v>
      </c>
      <c r="G6">
        <v>8.2100000000000009</v>
      </c>
      <c r="H6">
        <v>145</v>
      </c>
    </row>
    <row r="7" spans="3:12" x14ac:dyDescent="0.25">
      <c r="F7" s="8" t="s">
        <v>608</v>
      </c>
      <c r="G7">
        <v>8.11</v>
      </c>
      <c r="H7">
        <v>135</v>
      </c>
    </row>
    <row r="8" spans="3:12" x14ac:dyDescent="0.25">
      <c r="F8" s="8" t="s">
        <v>604</v>
      </c>
      <c r="G8">
        <v>6.83</v>
      </c>
      <c r="H8">
        <v>148</v>
      </c>
    </row>
    <row r="9" spans="3:12" x14ac:dyDescent="0.25">
      <c r="F9" s="8" t="s">
        <v>605</v>
      </c>
      <c r="G9">
        <v>5.15</v>
      </c>
      <c r="H9">
        <v>110</v>
      </c>
    </row>
    <row r="10" spans="3:12" x14ac:dyDescent="0.25">
      <c r="F10" s="8" t="s">
        <v>610</v>
      </c>
      <c r="G10">
        <v>5.93</v>
      </c>
      <c r="H10">
        <v>133</v>
      </c>
    </row>
    <row r="11" spans="3:12" x14ac:dyDescent="0.25">
      <c r="F11" s="8" t="s">
        <v>606</v>
      </c>
      <c r="G11">
        <v>5.17</v>
      </c>
      <c r="H11">
        <v>143</v>
      </c>
    </row>
    <row r="12" spans="3:12" x14ac:dyDescent="0.25">
      <c r="C12"/>
      <c r="F12" s="8" t="s">
        <v>607</v>
      </c>
      <c r="G12">
        <v>7.02</v>
      </c>
      <c r="H12">
        <v>155</v>
      </c>
    </row>
    <row r="13" spans="3:12" x14ac:dyDescent="0.25">
      <c r="C13"/>
      <c r="F13" s="8" t="s">
        <v>657</v>
      </c>
      <c r="G13">
        <v>46.42</v>
      </c>
      <c r="H13">
        <v>969</v>
      </c>
    </row>
    <row r="14" spans="3:12" x14ac:dyDescent="0.25">
      <c r="C14"/>
    </row>
    <row r="15" spans="3:12" x14ac:dyDescent="0.25">
      <c r="C15"/>
    </row>
    <row r="16" spans="3:12" x14ac:dyDescent="0.25">
      <c r="C16"/>
    </row>
    <row r="17" spans="3:3" x14ac:dyDescent="0.25">
      <c r="C17"/>
    </row>
    <row r="18" spans="3:3" x14ac:dyDescent="0.25">
      <c r="C18"/>
    </row>
    <row r="19" spans="3:3" x14ac:dyDescent="0.25">
      <c r="C19"/>
    </row>
    <row r="20" spans="3:3" x14ac:dyDescent="0.25">
      <c r="C20"/>
    </row>
    <row r="21" spans="3:3" x14ac:dyDescent="0.25">
      <c r="C21"/>
    </row>
    <row r="22" spans="3:3" x14ac:dyDescent="0.25">
      <c r="C22"/>
    </row>
    <row r="23" spans="3:3" x14ac:dyDescent="0.25">
      <c r="C23"/>
    </row>
    <row r="24" spans="3:3" x14ac:dyDescent="0.25">
      <c r="C24"/>
    </row>
    <row r="25" spans="3:3" x14ac:dyDescent="0.25">
      <c r="C25"/>
    </row>
    <row r="26" spans="3:3" x14ac:dyDescent="0.25">
      <c r="C26"/>
    </row>
    <row r="27" spans="3:3" x14ac:dyDescent="0.25">
      <c r="C27"/>
    </row>
    <row r="28" spans="3:3" x14ac:dyDescent="0.25">
      <c r="C28"/>
    </row>
    <row r="29" spans="3:3" x14ac:dyDescent="0.25">
      <c r="C29"/>
    </row>
    <row r="30" spans="3:3" x14ac:dyDescent="0.25">
      <c r="C30"/>
    </row>
    <row r="31" spans="3:3" x14ac:dyDescent="0.25">
      <c r="C31"/>
    </row>
    <row r="32" spans="3:3" x14ac:dyDescent="0.25">
      <c r="C32"/>
    </row>
    <row r="33" spans="3:3" x14ac:dyDescent="0.25">
      <c r="C33"/>
    </row>
    <row r="34" spans="3:3" x14ac:dyDescent="0.25">
      <c r="C34"/>
    </row>
    <row r="35" spans="3:3" x14ac:dyDescent="0.25">
      <c r="C35"/>
    </row>
    <row r="36" spans="3:3" x14ac:dyDescent="0.25">
      <c r="C36"/>
    </row>
    <row r="37" spans="3:3" x14ac:dyDescent="0.25">
      <c r="C37"/>
    </row>
    <row r="38" spans="3:3" x14ac:dyDescent="0.25">
      <c r="C38"/>
    </row>
    <row r="39" spans="3:3" x14ac:dyDescent="0.25">
      <c r="C39"/>
    </row>
    <row r="40" spans="3:3" x14ac:dyDescent="0.25">
      <c r="C40"/>
    </row>
    <row r="41" spans="3:3" x14ac:dyDescent="0.25">
      <c r="C41"/>
    </row>
    <row r="42" spans="3:3" x14ac:dyDescent="0.25">
      <c r="C42"/>
    </row>
    <row r="43" spans="3:3" x14ac:dyDescent="0.25">
      <c r="C43"/>
    </row>
    <row r="44" spans="3:3" x14ac:dyDescent="0.25">
      <c r="C44"/>
    </row>
    <row r="45" spans="3:3" x14ac:dyDescent="0.25">
      <c r="C45"/>
    </row>
    <row r="46" spans="3:3" x14ac:dyDescent="0.25">
      <c r="C46"/>
    </row>
    <row r="47" spans="3:3" x14ac:dyDescent="0.25">
      <c r="C47"/>
    </row>
    <row r="48" spans="3:3" x14ac:dyDescent="0.25">
      <c r="C48"/>
    </row>
    <row r="49" spans="3:3" x14ac:dyDescent="0.25">
      <c r="C49"/>
    </row>
    <row r="50" spans="3:3" x14ac:dyDescent="0.25">
      <c r="C50"/>
    </row>
    <row r="51" spans="3:3" x14ac:dyDescent="0.25">
      <c r="C51"/>
    </row>
    <row r="52" spans="3:3" x14ac:dyDescent="0.25">
      <c r="C52"/>
    </row>
    <row r="53" spans="3:3" x14ac:dyDescent="0.25">
      <c r="C53"/>
    </row>
    <row r="54" spans="3:3" x14ac:dyDescent="0.25">
      <c r="C54"/>
    </row>
    <row r="55" spans="3:3" x14ac:dyDescent="0.25">
      <c r="C55"/>
    </row>
    <row r="56" spans="3:3" x14ac:dyDescent="0.25">
      <c r="C56"/>
    </row>
    <row r="57" spans="3:3" x14ac:dyDescent="0.25">
      <c r="C57"/>
    </row>
    <row r="58" spans="3:3" x14ac:dyDescent="0.25">
      <c r="C58"/>
    </row>
    <row r="59" spans="3:3" x14ac:dyDescent="0.25">
      <c r="C59"/>
    </row>
    <row r="60" spans="3:3" x14ac:dyDescent="0.25">
      <c r="C60"/>
    </row>
    <row r="61" spans="3:3" x14ac:dyDescent="0.25">
      <c r="C61"/>
    </row>
    <row r="62" spans="3:3" x14ac:dyDescent="0.25">
      <c r="C62"/>
    </row>
    <row r="63" spans="3:3" x14ac:dyDescent="0.25">
      <c r="C63"/>
    </row>
    <row r="64" spans="3:3" x14ac:dyDescent="0.25">
      <c r="C64"/>
    </row>
    <row r="65" spans="3:3" x14ac:dyDescent="0.25">
      <c r="C65"/>
    </row>
    <row r="66" spans="3:3" x14ac:dyDescent="0.25">
      <c r="C66"/>
    </row>
    <row r="67" spans="3:3" x14ac:dyDescent="0.25">
      <c r="C67"/>
    </row>
    <row r="68" spans="3:3" x14ac:dyDescent="0.25">
      <c r="C68"/>
    </row>
    <row r="69" spans="3:3" x14ac:dyDescent="0.25">
      <c r="C69"/>
    </row>
    <row r="70" spans="3:3" x14ac:dyDescent="0.25">
      <c r="C70"/>
    </row>
    <row r="71" spans="3:3" x14ac:dyDescent="0.25">
      <c r="C71"/>
    </row>
    <row r="72" spans="3:3" x14ac:dyDescent="0.25">
      <c r="C72"/>
    </row>
    <row r="73" spans="3:3" x14ac:dyDescent="0.25">
      <c r="C73"/>
    </row>
    <row r="74" spans="3:3" x14ac:dyDescent="0.25">
      <c r="C74"/>
    </row>
    <row r="75" spans="3:3" x14ac:dyDescent="0.25">
      <c r="C75"/>
    </row>
    <row r="76" spans="3:3" x14ac:dyDescent="0.25">
      <c r="C76"/>
    </row>
    <row r="77" spans="3:3" x14ac:dyDescent="0.25">
      <c r="C77"/>
    </row>
    <row r="78" spans="3:3" x14ac:dyDescent="0.25">
      <c r="C78"/>
    </row>
    <row r="79" spans="3:3" x14ac:dyDescent="0.25">
      <c r="C79"/>
    </row>
    <row r="80" spans="3:3" x14ac:dyDescent="0.25">
      <c r="C80"/>
    </row>
    <row r="81" spans="3:3" x14ac:dyDescent="0.25">
      <c r="C81"/>
    </row>
    <row r="82" spans="3:3" x14ac:dyDescent="0.25">
      <c r="C82"/>
    </row>
    <row r="83" spans="3:3" x14ac:dyDescent="0.25">
      <c r="C83"/>
    </row>
  </sheetData>
  <mergeCells count="1">
    <mergeCell ref="C1:L3"/>
  </mergeCells>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F9976-10FE-4248-AA2F-A521CBE451ED}">
  <dimension ref="A1:H11"/>
  <sheetViews>
    <sheetView workbookViewId="0">
      <selection sqref="A1:H3"/>
    </sheetView>
  </sheetViews>
  <sheetFormatPr defaultRowHeight="15" x14ac:dyDescent="0.25"/>
  <cols>
    <col min="1" max="1" width="13.140625" bestFit="1" customWidth="1"/>
    <col min="2" max="3" width="11.7109375" bestFit="1" customWidth="1"/>
    <col min="4" max="4" width="18.28515625" bestFit="1" customWidth="1"/>
    <col min="5" max="5" width="10.85546875" customWidth="1"/>
    <col min="6" max="6" width="11.140625" customWidth="1"/>
    <col min="7" max="7" width="13" customWidth="1"/>
    <col min="8" max="8" width="24.85546875" customWidth="1"/>
  </cols>
  <sheetData>
    <row r="1" spans="1:8" ht="15" customHeight="1" x14ac:dyDescent="0.25">
      <c r="A1" s="19" t="s">
        <v>673</v>
      </c>
      <c r="B1" s="19"/>
      <c r="C1" s="19"/>
      <c r="D1" s="19"/>
      <c r="E1" s="19"/>
      <c r="F1" s="19"/>
      <c r="G1" s="19"/>
      <c r="H1" s="19"/>
    </row>
    <row r="2" spans="1:8" ht="15" customHeight="1" x14ac:dyDescent="0.25">
      <c r="A2" s="19"/>
      <c r="B2" s="19"/>
      <c r="C2" s="19"/>
      <c r="D2" s="19"/>
      <c r="E2" s="19"/>
      <c r="F2" s="19"/>
      <c r="G2" s="19"/>
      <c r="H2" s="19"/>
    </row>
    <row r="3" spans="1:8" ht="15" customHeight="1" x14ac:dyDescent="0.25">
      <c r="A3" s="19"/>
      <c r="B3" s="19"/>
      <c r="C3" s="19"/>
      <c r="D3" s="19"/>
      <c r="E3" s="19"/>
      <c r="F3" s="19"/>
      <c r="G3" s="19"/>
      <c r="H3" s="19"/>
    </row>
    <row r="5" spans="1:8" x14ac:dyDescent="0.25">
      <c r="C5" s="9" t="s">
        <v>9</v>
      </c>
      <c r="D5" s="10" t="s">
        <v>672</v>
      </c>
    </row>
    <row r="6" spans="1:8" x14ac:dyDescent="0.25">
      <c r="C6" s="8" t="s">
        <v>646</v>
      </c>
      <c r="D6" s="16">
        <v>55412.540414489813</v>
      </c>
    </row>
    <row r="7" spans="1:8" ht="15" customHeight="1" x14ac:dyDescent="0.25">
      <c r="C7" s="8" t="s">
        <v>649</v>
      </c>
      <c r="D7" s="16">
        <v>42087.483587957373</v>
      </c>
    </row>
    <row r="8" spans="1:8" ht="15" customHeight="1" x14ac:dyDescent="0.25">
      <c r="C8" s="8" t="s">
        <v>647</v>
      </c>
      <c r="D8" s="16">
        <v>39522.573511854978</v>
      </c>
    </row>
    <row r="9" spans="1:8" ht="15" customHeight="1" x14ac:dyDescent="0.25">
      <c r="C9" s="8" t="s">
        <v>650</v>
      </c>
      <c r="D9" s="16">
        <v>32752.775254680815</v>
      </c>
    </row>
    <row r="10" spans="1:8" x14ac:dyDescent="0.25">
      <c r="C10" s="8" t="s">
        <v>648</v>
      </c>
      <c r="D10" s="16">
        <v>33874.966831660218</v>
      </c>
    </row>
    <row r="11" spans="1:8" x14ac:dyDescent="0.25">
      <c r="C11" s="8" t="s">
        <v>657</v>
      </c>
      <c r="D11" s="16">
        <v>203650.33960064329</v>
      </c>
    </row>
  </sheetData>
  <mergeCells count="1">
    <mergeCell ref="A1:H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D54ED-D028-43C6-807D-F6F24A9582DF}">
  <dimension ref="B1:M9"/>
  <sheetViews>
    <sheetView workbookViewId="0">
      <selection activeCell="L34" sqref="L34"/>
    </sheetView>
  </sheetViews>
  <sheetFormatPr defaultRowHeight="15" x14ac:dyDescent="0.25"/>
  <cols>
    <col min="1" max="1" width="13.140625" bestFit="1" customWidth="1"/>
    <col min="2" max="2" width="17.28515625" bestFit="1" customWidth="1"/>
    <col min="5" max="5" width="11.28515625" bestFit="1" customWidth="1"/>
    <col min="6" max="6" width="8.7109375" bestFit="1" customWidth="1"/>
    <col min="7" max="7" width="12.85546875" bestFit="1" customWidth="1"/>
    <col min="8" max="8" width="10.42578125" bestFit="1" customWidth="1"/>
  </cols>
  <sheetData>
    <row r="1" spans="2:13" ht="15" customHeight="1" x14ac:dyDescent="0.25">
      <c r="B1" s="19" t="s">
        <v>675</v>
      </c>
      <c r="C1" s="19"/>
      <c r="D1" s="19"/>
      <c r="E1" s="19"/>
      <c r="F1" s="19"/>
      <c r="G1" s="19"/>
      <c r="H1" s="19"/>
      <c r="I1" s="19"/>
      <c r="J1" s="19"/>
      <c r="K1" s="19"/>
      <c r="L1" s="19"/>
      <c r="M1" s="19"/>
    </row>
    <row r="2" spans="2:13" ht="15" customHeight="1" x14ac:dyDescent="0.25">
      <c r="B2" s="19"/>
      <c r="C2" s="19"/>
      <c r="D2" s="19"/>
      <c r="E2" s="19"/>
      <c r="F2" s="19"/>
      <c r="G2" s="19"/>
      <c r="H2" s="19"/>
      <c r="I2" s="19"/>
      <c r="J2" s="19"/>
      <c r="K2" s="19"/>
      <c r="L2" s="19"/>
      <c r="M2" s="19"/>
    </row>
    <row r="3" spans="2:13" ht="15" customHeight="1" x14ac:dyDescent="0.25">
      <c r="B3" s="19"/>
      <c r="C3" s="19"/>
      <c r="D3" s="19"/>
      <c r="E3" s="19"/>
      <c r="F3" s="19"/>
      <c r="G3" s="19"/>
      <c r="H3" s="19"/>
      <c r="I3" s="19"/>
      <c r="J3" s="19"/>
      <c r="K3" s="19"/>
      <c r="L3" s="19"/>
      <c r="M3" s="19"/>
    </row>
    <row r="5" spans="2:13" x14ac:dyDescent="0.25">
      <c r="E5" s="9" t="s">
        <v>668</v>
      </c>
      <c r="F5" s="10" t="s">
        <v>6</v>
      </c>
      <c r="G5" t="s">
        <v>674</v>
      </c>
      <c r="H5" s="10" t="s">
        <v>7</v>
      </c>
    </row>
    <row r="6" spans="2:13" x14ac:dyDescent="0.25">
      <c r="E6" s="8" t="s">
        <v>670</v>
      </c>
      <c r="F6" s="16">
        <v>23.48</v>
      </c>
      <c r="G6" s="15">
        <v>518</v>
      </c>
      <c r="H6" s="16">
        <v>109145.23804894152</v>
      </c>
    </row>
    <row r="7" spans="2:13" x14ac:dyDescent="0.25">
      <c r="E7" s="8" t="s">
        <v>669</v>
      </c>
      <c r="F7" s="16">
        <v>15.81</v>
      </c>
      <c r="G7" s="15">
        <v>301</v>
      </c>
      <c r="H7" s="16">
        <v>64872.210442149211</v>
      </c>
    </row>
    <row r="8" spans="2:13" x14ac:dyDescent="0.25">
      <c r="E8" s="8" t="s">
        <v>671</v>
      </c>
      <c r="F8" s="16">
        <v>7.13</v>
      </c>
      <c r="G8" s="15">
        <v>150</v>
      </c>
      <c r="H8" s="16">
        <v>29632.891109552507</v>
      </c>
    </row>
    <row r="9" spans="2:13" x14ac:dyDescent="0.25">
      <c r="E9" s="8" t="s">
        <v>657</v>
      </c>
      <c r="F9" s="16">
        <v>46.42</v>
      </c>
      <c r="G9" s="15">
        <v>969</v>
      </c>
      <c r="H9" s="16">
        <v>203650.33960064329</v>
      </c>
    </row>
  </sheetData>
  <mergeCells count="1">
    <mergeCell ref="B1:M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109FA-A3AF-4185-B2E6-D0442DA5A047}">
  <dimension ref="A1:V36"/>
  <sheetViews>
    <sheetView tabSelected="1" workbookViewId="0">
      <selection activeCell="H39" sqref="H39"/>
    </sheetView>
  </sheetViews>
  <sheetFormatPr defaultRowHeight="15" x14ac:dyDescent="0.25"/>
  <sheetData>
    <row r="1" spans="1:22" ht="15" customHeight="1" x14ac:dyDescent="0.25">
      <c r="A1" s="20" t="s">
        <v>666</v>
      </c>
      <c r="B1" s="20"/>
      <c r="C1" s="20"/>
      <c r="D1" s="20"/>
      <c r="E1" s="20"/>
      <c r="F1" s="20"/>
      <c r="G1" s="20"/>
      <c r="H1" s="20"/>
      <c r="I1" s="20"/>
      <c r="J1" s="20"/>
      <c r="K1" s="20"/>
      <c r="L1" s="20"/>
      <c r="M1" s="20"/>
      <c r="N1" s="20"/>
      <c r="O1" s="20"/>
      <c r="P1" s="20"/>
      <c r="Q1" s="20"/>
      <c r="R1" s="20"/>
      <c r="S1" s="20"/>
      <c r="T1" s="20"/>
      <c r="U1" s="20"/>
      <c r="V1" s="20"/>
    </row>
    <row r="2" spans="1:22" ht="15" customHeight="1" x14ac:dyDescent="0.25">
      <c r="A2" s="20"/>
      <c r="B2" s="20"/>
      <c r="C2" s="20"/>
      <c r="D2" s="20"/>
      <c r="E2" s="20"/>
      <c r="F2" s="20"/>
      <c r="G2" s="20"/>
      <c r="H2" s="20"/>
      <c r="I2" s="20"/>
      <c r="J2" s="20"/>
      <c r="K2" s="20"/>
      <c r="L2" s="20"/>
      <c r="M2" s="20"/>
      <c r="N2" s="20"/>
      <c r="O2" s="20"/>
      <c r="P2" s="20"/>
      <c r="Q2" s="20"/>
      <c r="R2" s="20"/>
      <c r="S2" s="20"/>
      <c r="T2" s="20"/>
      <c r="U2" s="20"/>
      <c r="V2" s="20"/>
    </row>
    <row r="3" spans="1:22" ht="15" customHeight="1" x14ac:dyDescent="0.25">
      <c r="A3" s="20"/>
      <c r="B3" s="20"/>
      <c r="C3" s="20"/>
      <c r="D3" s="20"/>
      <c r="E3" s="20"/>
      <c r="F3" s="20"/>
      <c r="G3" s="20"/>
      <c r="H3" s="20"/>
      <c r="I3" s="20"/>
      <c r="J3" s="20"/>
      <c r="K3" s="20"/>
      <c r="L3" s="20"/>
      <c r="M3" s="20"/>
      <c r="N3" s="20"/>
      <c r="O3" s="20"/>
      <c r="P3" s="20"/>
      <c r="Q3" s="20"/>
      <c r="R3" s="20"/>
      <c r="S3" s="20"/>
      <c r="T3" s="20"/>
      <c r="U3" s="20"/>
      <c r="V3" s="20"/>
    </row>
    <row r="4" spans="1:22" ht="18.75" x14ac:dyDescent="0.3">
      <c r="A4" s="14"/>
      <c r="B4" s="14"/>
      <c r="C4" s="14"/>
      <c r="D4" s="14"/>
      <c r="E4" s="14"/>
      <c r="F4" s="14"/>
      <c r="G4" s="14"/>
      <c r="H4" s="14"/>
      <c r="I4" s="21" t="s">
        <v>667</v>
      </c>
      <c r="J4" s="21"/>
      <c r="K4" s="14"/>
      <c r="L4" s="14"/>
      <c r="M4" s="21" t="s">
        <v>7</v>
      </c>
      <c r="N4" s="21"/>
      <c r="O4" s="14"/>
      <c r="P4" s="14"/>
      <c r="Q4" s="14"/>
      <c r="R4" s="14"/>
      <c r="S4" s="14"/>
      <c r="T4" s="14"/>
      <c r="U4" s="14"/>
      <c r="V4" s="14"/>
    </row>
    <row r="5" spans="1:22" ht="18.75" x14ac:dyDescent="0.3">
      <c r="A5" s="14"/>
      <c r="B5" s="14"/>
      <c r="C5" s="14"/>
      <c r="D5" s="14"/>
      <c r="E5" s="14"/>
      <c r="F5" s="14"/>
      <c r="G5" s="14"/>
      <c r="H5" s="14"/>
      <c r="I5" s="21">
        <v>969</v>
      </c>
      <c r="J5" s="21"/>
      <c r="K5" s="14"/>
      <c r="L5" s="14"/>
      <c r="M5" s="22">
        <v>203650</v>
      </c>
      <c r="N5" s="22"/>
      <c r="O5" s="14"/>
      <c r="P5" s="14"/>
      <c r="Q5" s="14"/>
      <c r="R5" s="14"/>
      <c r="S5" s="14"/>
      <c r="T5" s="14"/>
      <c r="U5" s="14"/>
      <c r="V5" s="14"/>
    </row>
    <row r="6" spans="1:22" x14ac:dyDescent="0.25">
      <c r="A6" s="14"/>
      <c r="B6" s="14"/>
      <c r="C6" s="14"/>
      <c r="D6" s="14"/>
      <c r="E6" s="14"/>
      <c r="F6" s="14"/>
      <c r="G6" s="14"/>
      <c r="H6" s="14"/>
      <c r="I6" s="14"/>
      <c r="J6" s="14"/>
      <c r="K6" s="14"/>
      <c r="L6" s="14"/>
      <c r="M6" s="14"/>
      <c r="N6" s="14"/>
      <c r="O6" s="14"/>
      <c r="P6" s="14"/>
      <c r="Q6" s="14"/>
      <c r="R6" s="14"/>
      <c r="S6" s="14"/>
      <c r="T6" s="14"/>
      <c r="U6" s="14"/>
      <c r="V6" s="14"/>
    </row>
    <row r="7" spans="1:22" x14ac:dyDescent="0.25">
      <c r="A7" s="14"/>
      <c r="B7" s="14"/>
      <c r="C7" s="14"/>
      <c r="D7" s="14"/>
      <c r="E7" s="14"/>
      <c r="F7" s="14"/>
      <c r="G7" s="14"/>
      <c r="H7" s="14"/>
      <c r="I7" s="14"/>
      <c r="J7" s="14"/>
      <c r="K7" s="14"/>
      <c r="L7" s="14"/>
      <c r="M7" s="14"/>
      <c r="N7" s="14"/>
      <c r="O7" s="14"/>
      <c r="P7" s="14"/>
      <c r="Q7" s="14"/>
      <c r="R7" s="14"/>
      <c r="S7" s="14"/>
      <c r="T7" s="14"/>
      <c r="U7" s="14"/>
      <c r="V7" s="14"/>
    </row>
    <row r="8" spans="1:22" x14ac:dyDescent="0.25">
      <c r="A8" s="14"/>
      <c r="B8" s="14"/>
      <c r="C8" s="14"/>
      <c r="D8" s="14"/>
      <c r="E8" s="14"/>
      <c r="F8" s="14"/>
      <c r="G8" s="14"/>
      <c r="H8" s="14"/>
      <c r="I8" s="14"/>
      <c r="J8" s="14"/>
      <c r="K8" s="14"/>
      <c r="L8" s="14"/>
      <c r="M8" s="14"/>
      <c r="N8" s="14"/>
      <c r="O8" s="14"/>
      <c r="P8" s="14"/>
      <c r="Q8" s="14"/>
      <c r="R8" s="14"/>
      <c r="S8" s="14"/>
      <c r="T8" s="14"/>
      <c r="U8" s="14"/>
      <c r="V8" s="14"/>
    </row>
    <row r="9" spans="1:22" x14ac:dyDescent="0.25">
      <c r="A9" s="14"/>
      <c r="B9" s="14"/>
      <c r="C9" s="14"/>
      <c r="D9" s="14"/>
      <c r="E9" s="14"/>
      <c r="F9" s="14"/>
      <c r="G9" s="14"/>
      <c r="H9" s="14"/>
      <c r="I9" s="14"/>
      <c r="J9" s="14"/>
      <c r="K9" s="14"/>
      <c r="L9" s="14"/>
      <c r="M9" s="14"/>
      <c r="N9" s="14"/>
      <c r="O9" s="14"/>
      <c r="P9" s="14"/>
      <c r="Q9" s="14"/>
      <c r="R9" s="14"/>
      <c r="S9" s="14"/>
      <c r="T9" s="14"/>
      <c r="U9" s="14"/>
      <c r="V9" s="14"/>
    </row>
    <row r="10" spans="1:22" x14ac:dyDescent="0.25">
      <c r="A10" s="14"/>
      <c r="B10" s="14"/>
      <c r="C10" s="14"/>
      <c r="D10" s="14"/>
      <c r="E10" s="14"/>
      <c r="F10" s="14"/>
      <c r="G10" s="14"/>
      <c r="H10" s="14"/>
      <c r="I10" s="14"/>
      <c r="J10" s="14"/>
      <c r="K10" s="14"/>
      <c r="L10" s="14"/>
      <c r="M10" s="14"/>
      <c r="N10" s="14"/>
      <c r="O10" s="14"/>
      <c r="P10" s="14"/>
      <c r="Q10" s="14"/>
      <c r="R10" s="14"/>
      <c r="S10" s="14"/>
      <c r="T10" s="14"/>
      <c r="U10" s="14"/>
      <c r="V10" s="14"/>
    </row>
    <row r="11" spans="1:22" x14ac:dyDescent="0.25">
      <c r="A11" s="14"/>
      <c r="B11" s="14"/>
      <c r="C11" s="14"/>
      <c r="D11" s="14"/>
      <c r="E11" s="14"/>
      <c r="F11" s="14"/>
      <c r="G11" s="14"/>
      <c r="H11" s="14"/>
      <c r="I11" s="14"/>
      <c r="J11" s="14"/>
      <c r="K11" s="14"/>
      <c r="L11" s="14"/>
      <c r="M11" s="14"/>
      <c r="N11" s="14"/>
      <c r="O11" s="14"/>
      <c r="P11" s="14"/>
      <c r="Q11" s="14"/>
      <c r="R11" s="14"/>
      <c r="S11" s="14"/>
      <c r="T11" s="14"/>
      <c r="U11" s="14"/>
      <c r="V11" s="14"/>
    </row>
    <row r="12" spans="1:22" x14ac:dyDescent="0.25">
      <c r="A12" s="14"/>
      <c r="B12" s="14"/>
      <c r="C12" s="14"/>
      <c r="D12" s="14"/>
      <c r="E12" s="14"/>
      <c r="F12" s="14"/>
      <c r="G12" s="14"/>
      <c r="H12" s="14"/>
      <c r="I12" s="14"/>
      <c r="J12" s="14"/>
      <c r="K12" s="14"/>
      <c r="L12" s="14"/>
      <c r="M12" s="14"/>
      <c r="N12" s="14"/>
      <c r="O12" s="14"/>
      <c r="P12" s="14"/>
      <c r="Q12" s="14"/>
      <c r="R12" s="14"/>
      <c r="S12" s="14"/>
      <c r="T12" s="14"/>
      <c r="U12" s="14"/>
      <c r="V12" s="14"/>
    </row>
    <row r="13" spans="1:22" x14ac:dyDescent="0.25">
      <c r="A13" s="14"/>
      <c r="B13" s="14"/>
      <c r="C13" s="14"/>
      <c r="D13" s="14"/>
      <c r="E13" s="14"/>
      <c r="F13" s="14"/>
      <c r="G13" s="14"/>
      <c r="H13" s="14"/>
      <c r="I13" s="14"/>
      <c r="J13" s="14"/>
      <c r="K13" s="14"/>
      <c r="L13" s="14"/>
      <c r="M13" s="14"/>
      <c r="N13" s="14"/>
      <c r="O13" s="14"/>
      <c r="P13" s="14"/>
      <c r="Q13" s="14"/>
      <c r="R13" s="14"/>
      <c r="S13" s="14"/>
      <c r="T13" s="14"/>
      <c r="U13" s="14"/>
      <c r="V13" s="14"/>
    </row>
    <row r="14" spans="1:22" x14ac:dyDescent="0.25">
      <c r="A14" s="14"/>
      <c r="B14" s="14"/>
      <c r="C14" s="14"/>
      <c r="D14" s="14"/>
      <c r="E14" s="14"/>
      <c r="F14" s="14"/>
      <c r="G14" s="14"/>
      <c r="H14" s="14"/>
      <c r="I14" s="14"/>
      <c r="J14" s="14"/>
      <c r="K14" s="14"/>
      <c r="L14" s="14"/>
      <c r="M14" s="14"/>
      <c r="N14" s="14"/>
      <c r="O14" s="14"/>
      <c r="P14" s="14"/>
      <c r="Q14" s="14"/>
      <c r="R14" s="14"/>
      <c r="S14" s="14"/>
      <c r="T14" s="14"/>
      <c r="U14" s="14"/>
      <c r="V14" s="14"/>
    </row>
    <row r="15" spans="1:22" x14ac:dyDescent="0.25">
      <c r="A15" s="14"/>
      <c r="B15" s="14"/>
      <c r="C15" s="14"/>
      <c r="D15" s="14"/>
      <c r="E15" s="14"/>
      <c r="F15" s="14"/>
      <c r="G15" s="14"/>
      <c r="H15" s="14"/>
      <c r="I15" s="14"/>
      <c r="J15" s="14"/>
      <c r="K15" s="14"/>
      <c r="L15" s="14"/>
      <c r="M15" s="14"/>
      <c r="N15" s="14"/>
      <c r="O15" s="14"/>
      <c r="P15" s="14"/>
      <c r="Q15" s="14"/>
      <c r="R15" s="14"/>
      <c r="S15" s="14"/>
      <c r="T15" s="14"/>
      <c r="U15" s="14"/>
      <c r="V15" s="14"/>
    </row>
    <row r="16" spans="1:22" x14ac:dyDescent="0.25">
      <c r="A16" s="14"/>
      <c r="B16" s="14"/>
      <c r="C16" s="14"/>
      <c r="D16" s="14"/>
      <c r="E16" s="14"/>
      <c r="F16" s="14"/>
      <c r="G16" s="14"/>
      <c r="H16" s="14"/>
      <c r="I16" s="14"/>
      <c r="J16" s="14"/>
      <c r="K16" s="14"/>
      <c r="L16" s="14"/>
      <c r="M16" s="14"/>
      <c r="N16" s="14"/>
      <c r="O16" s="14"/>
      <c r="P16" s="14"/>
      <c r="Q16" s="14"/>
      <c r="R16" s="14"/>
      <c r="S16" s="14"/>
      <c r="T16" s="14"/>
      <c r="U16" s="14"/>
      <c r="V16" s="14"/>
    </row>
    <row r="17" spans="1:22" x14ac:dyDescent="0.25">
      <c r="A17" s="14"/>
      <c r="B17" s="14"/>
      <c r="C17" s="14"/>
      <c r="D17" s="14"/>
      <c r="E17" s="14"/>
      <c r="F17" s="14"/>
      <c r="G17" s="14"/>
      <c r="H17" s="14"/>
      <c r="I17" s="14"/>
      <c r="J17" s="14"/>
      <c r="K17" s="14"/>
      <c r="L17" s="14"/>
      <c r="M17" s="14"/>
      <c r="N17" s="14"/>
      <c r="O17" s="14"/>
      <c r="P17" s="14"/>
      <c r="Q17" s="14"/>
      <c r="R17" s="14"/>
      <c r="S17" s="14"/>
      <c r="T17" s="14"/>
      <c r="U17" s="14"/>
      <c r="V17" s="14"/>
    </row>
    <row r="18" spans="1:22" x14ac:dyDescent="0.25">
      <c r="A18" s="14"/>
      <c r="B18" s="14"/>
      <c r="C18" s="14"/>
      <c r="D18" s="14"/>
      <c r="E18" s="14"/>
      <c r="F18" s="14"/>
      <c r="G18" s="14"/>
      <c r="H18" s="14"/>
      <c r="I18" s="14"/>
      <c r="J18" s="14"/>
      <c r="K18" s="14"/>
      <c r="L18" s="14"/>
      <c r="M18" s="14"/>
      <c r="N18" s="14"/>
      <c r="O18" s="14"/>
      <c r="P18" s="14"/>
      <c r="Q18" s="14"/>
      <c r="R18" s="14"/>
      <c r="S18" s="14"/>
      <c r="T18" s="14"/>
      <c r="U18" s="14"/>
      <c r="V18" s="14"/>
    </row>
    <row r="19" spans="1:22" x14ac:dyDescent="0.25">
      <c r="A19" s="14"/>
      <c r="B19" s="14"/>
      <c r="C19" s="14"/>
      <c r="D19" s="14"/>
      <c r="E19" s="14"/>
      <c r="F19" s="14"/>
      <c r="G19" s="14"/>
      <c r="H19" s="14"/>
      <c r="I19" s="14"/>
      <c r="J19" s="14"/>
      <c r="K19" s="14"/>
      <c r="L19" s="14"/>
      <c r="M19" s="14"/>
      <c r="N19" s="14"/>
      <c r="O19" s="14"/>
      <c r="P19" s="14"/>
      <c r="Q19" s="14"/>
      <c r="R19" s="14"/>
      <c r="S19" s="14"/>
      <c r="T19" s="14"/>
      <c r="U19" s="14"/>
      <c r="V19" s="14"/>
    </row>
    <row r="20" spans="1:22" x14ac:dyDescent="0.25">
      <c r="A20" s="14"/>
      <c r="B20" s="14"/>
      <c r="C20" s="14"/>
      <c r="D20" s="14"/>
      <c r="E20" s="14"/>
      <c r="F20" s="14"/>
      <c r="G20" s="14"/>
      <c r="H20" s="14"/>
      <c r="I20" s="14"/>
      <c r="J20" s="14"/>
      <c r="K20" s="14"/>
      <c r="L20" s="14"/>
      <c r="M20" s="14"/>
      <c r="N20" s="14"/>
      <c r="O20" s="14"/>
      <c r="P20" s="14"/>
      <c r="Q20" s="14"/>
      <c r="R20" s="14"/>
      <c r="S20" s="14"/>
      <c r="T20" s="14"/>
      <c r="U20" s="14"/>
      <c r="V20" s="14"/>
    </row>
    <row r="21" spans="1:22" x14ac:dyDescent="0.25">
      <c r="A21" s="14"/>
      <c r="B21" s="14"/>
      <c r="C21" s="14"/>
      <c r="D21" s="14"/>
      <c r="E21" s="14"/>
      <c r="F21" s="14"/>
      <c r="G21" s="14"/>
      <c r="H21" s="14"/>
      <c r="I21" s="14"/>
      <c r="J21" s="14"/>
      <c r="K21" s="14"/>
      <c r="L21" s="14"/>
      <c r="M21" s="14"/>
      <c r="N21" s="14"/>
      <c r="O21" s="14"/>
      <c r="P21" s="14"/>
      <c r="Q21" s="14"/>
      <c r="R21" s="14"/>
      <c r="S21" s="14"/>
      <c r="T21" s="14"/>
      <c r="U21" s="14"/>
      <c r="V21" s="14"/>
    </row>
    <row r="22" spans="1:22" x14ac:dyDescent="0.25">
      <c r="A22" s="14"/>
      <c r="B22" s="14"/>
      <c r="C22" s="14"/>
      <c r="D22" s="14"/>
      <c r="E22" s="14"/>
      <c r="F22" s="14"/>
      <c r="G22" s="14"/>
      <c r="H22" s="14"/>
      <c r="I22" s="14"/>
      <c r="J22" s="14"/>
      <c r="K22" s="14"/>
      <c r="L22" s="14"/>
      <c r="M22" s="14"/>
      <c r="N22" s="14"/>
      <c r="O22" s="14"/>
      <c r="P22" s="14"/>
      <c r="Q22" s="14"/>
      <c r="R22" s="14"/>
      <c r="S22" s="14"/>
      <c r="T22" s="14"/>
      <c r="U22" s="14"/>
      <c r="V22" s="14"/>
    </row>
    <row r="23" spans="1:22" x14ac:dyDescent="0.25">
      <c r="A23" s="14"/>
      <c r="B23" s="14"/>
      <c r="C23" s="14"/>
      <c r="D23" s="14"/>
      <c r="E23" s="14"/>
      <c r="F23" s="14"/>
      <c r="G23" s="14"/>
      <c r="H23" s="14"/>
      <c r="I23" s="14"/>
      <c r="J23" s="14"/>
      <c r="K23" s="14"/>
      <c r="L23" s="14"/>
      <c r="M23" s="14"/>
      <c r="N23" s="14"/>
      <c r="O23" s="14"/>
      <c r="P23" s="14"/>
      <c r="Q23" s="14"/>
      <c r="R23" s="14"/>
      <c r="S23" s="14"/>
      <c r="T23" s="14"/>
      <c r="U23" s="14"/>
      <c r="V23" s="14"/>
    </row>
    <row r="24" spans="1:22" x14ac:dyDescent="0.25">
      <c r="A24" s="14"/>
      <c r="B24" s="14"/>
      <c r="C24" s="14"/>
      <c r="D24" s="14"/>
      <c r="E24" s="14"/>
      <c r="F24" s="14"/>
      <c r="G24" s="14"/>
      <c r="H24" s="14"/>
      <c r="I24" s="14"/>
      <c r="J24" s="14"/>
      <c r="K24" s="14"/>
      <c r="L24" s="14"/>
      <c r="M24" s="14"/>
      <c r="N24" s="14"/>
      <c r="O24" s="14"/>
      <c r="P24" s="14"/>
      <c r="Q24" s="14"/>
      <c r="R24" s="14"/>
      <c r="S24" s="14"/>
      <c r="T24" s="14"/>
      <c r="U24" s="14"/>
      <c r="V24" s="14"/>
    </row>
    <row r="25" spans="1:22" x14ac:dyDescent="0.25">
      <c r="A25" s="14"/>
      <c r="B25" s="14"/>
      <c r="C25" s="14"/>
      <c r="D25" s="14"/>
      <c r="E25" s="14"/>
      <c r="F25" s="14"/>
      <c r="G25" s="14"/>
      <c r="H25" s="14"/>
      <c r="I25" s="14"/>
      <c r="J25" s="14"/>
      <c r="K25" s="14"/>
      <c r="L25" s="14"/>
      <c r="M25" s="14"/>
      <c r="N25" s="14"/>
      <c r="O25" s="14"/>
      <c r="P25" s="14"/>
      <c r="Q25" s="14"/>
      <c r="R25" s="14"/>
      <c r="S25" s="14"/>
      <c r="T25" s="14"/>
      <c r="U25" s="14"/>
      <c r="V25" s="14"/>
    </row>
    <row r="26" spans="1:22" x14ac:dyDescent="0.25">
      <c r="A26" s="14"/>
      <c r="B26" s="14"/>
      <c r="C26" s="14"/>
      <c r="D26" s="14"/>
      <c r="E26" s="14"/>
      <c r="F26" s="14"/>
      <c r="G26" s="14"/>
      <c r="H26" s="14"/>
      <c r="I26" s="14"/>
      <c r="J26" s="14"/>
      <c r="K26" s="14"/>
      <c r="L26" s="14"/>
      <c r="M26" s="14"/>
      <c r="N26" s="14"/>
      <c r="O26" s="14"/>
      <c r="P26" s="14"/>
      <c r="Q26" s="14"/>
      <c r="R26" s="14"/>
      <c r="S26" s="14"/>
      <c r="T26" s="14"/>
      <c r="U26" s="14"/>
      <c r="V26" s="14"/>
    </row>
    <row r="27" spans="1:22" x14ac:dyDescent="0.25">
      <c r="A27" s="14"/>
      <c r="B27" s="14"/>
      <c r="C27" s="14"/>
      <c r="D27" s="14"/>
      <c r="E27" s="14"/>
      <c r="F27" s="14"/>
      <c r="G27" s="14"/>
      <c r="H27" s="14"/>
      <c r="I27" s="14"/>
      <c r="J27" s="14"/>
      <c r="K27" s="14"/>
      <c r="L27" s="14"/>
      <c r="M27" s="14"/>
      <c r="N27" s="14"/>
      <c r="O27" s="14"/>
      <c r="P27" s="14"/>
      <c r="Q27" s="14"/>
      <c r="R27" s="14"/>
      <c r="S27" s="14"/>
      <c r="T27" s="14"/>
      <c r="U27" s="14"/>
      <c r="V27" s="14"/>
    </row>
    <row r="28" spans="1:22" x14ac:dyDescent="0.25">
      <c r="A28" s="14"/>
      <c r="B28" s="14"/>
      <c r="C28" s="14"/>
      <c r="D28" s="14"/>
      <c r="E28" s="14"/>
      <c r="F28" s="14"/>
      <c r="G28" s="14"/>
      <c r="H28" s="14"/>
      <c r="I28" s="14"/>
      <c r="J28" s="14"/>
      <c r="K28" s="14"/>
      <c r="L28" s="14"/>
      <c r="M28" s="14"/>
      <c r="N28" s="14"/>
      <c r="O28" s="14"/>
      <c r="P28" s="14"/>
      <c r="Q28" s="14"/>
      <c r="R28" s="14"/>
      <c r="S28" s="14"/>
      <c r="T28" s="14"/>
      <c r="U28" s="14"/>
      <c r="V28" s="14"/>
    </row>
    <row r="29" spans="1:22" x14ac:dyDescent="0.25">
      <c r="A29" s="14"/>
      <c r="B29" s="14"/>
      <c r="C29" s="14"/>
      <c r="D29" s="14"/>
      <c r="E29" s="14"/>
      <c r="F29" s="14"/>
      <c r="G29" s="14"/>
      <c r="H29" s="14"/>
      <c r="I29" s="14"/>
      <c r="J29" s="14"/>
      <c r="K29" s="14"/>
      <c r="L29" s="14"/>
      <c r="M29" s="14"/>
      <c r="N29" s="14"/>
      <c r="O29" s="14"/>
      <c r="P29" s="14"/>
      <c r="Q29" s="14"/>
      <c r="R29" s="14"/>
      <c r="S29" s="14"/>
      <c r="T29" s="14"/>
      <c r="U29" s="14"/>
      <c r="V29" s="14"/>
    </row>
    <row r="30" spans="1:22" x14ac:dyDescent="0.25">
      <c r="A30" s="14"/>
      <c r="B30" s="14"/>
      <c r="C30" s="14"/>
      <c r="D30" s="14"/>
      <c r="E30" s="14"/>
      <c r="F30" s="14"/>
      <c r="G30" s="14"/>
      <c r="H30" s="14"/>
      <c r="I30" s="14"/>
      <c r="J30" s="14"/>
      <c r="K30" s="14"/>
      <c r="L30" s="14"/>
      <c r="M30" s="14"/>
      <c r="N30" s="14"/>
      <c r="O30" s="14"/>
      <c r="P30" s="14"/>
      <c r="Q30" s="14"/>
      <c r="R30" s="14"/>
      <c r="S30" s="14"/>
      <c r="T30" s="14"/>
      <c r="U30" s="14"/>
      <c r="V30" s="14"/>
    </row>
    <row r="31" spans="1:22" x14ac:dyDescent="0.25">
      <c r="A31" s="14"/>
      <c r="B31" s="14"/>
      <c r="C31" s="14"/>
      <c r="D31" s="14"/>
      <c r="E31" s="14"/>
      <c r="F31" s="14"/>
      <c r="G31" s="14"/>
      <c r="H31" s="14"/>
      <c r="I31" s="14"/>
      <c r="J31" s="14"/>
      <c r="K31" s="14"/>
      <c r="L31" s="14"/>
      <c r="M31" s="14"/>
      <c r="N31" s="14"/>
      <c r="O31" s="14"/>
      <c r="P31" s="14"/>
      <c r="Q31" s="14"/>
      <c r="R31" s="14"/>
      <c r="S31" s="14"/>
      <c r="T31" s="14"/>
      <c r="U31" s="14"/>
      <c r="V31" s="14"/>
    </row>
    <row r="32" spans="1:22" x14ac:dyDescent="0.25">
      <c r="A32" s="14"/>
      <c r="B32" s="14"/>
      <c r="C32" s="14"/>
      <c r="D32" s="14"/>
      <c r="E32" s="14"/>
      <c r="F32" s="14"/>
      <c r="G32" s="14"/>
      <c r="H32" s="14"/>
      <c r="I32" s="14"/>
      <c r="J32" s="14"/>
      <c r="K32" s="14"/>
      <c r="L32" s="14"/>
      <c r="M32" s="14"/>
      <c r="N32" s="14"/>
      <c r="O32" s="14"/>
      <c r="P32" s="14"/>
      <c r="Q32" s="14"/>
      <c r="R32" s="14"/>
      <c r="S32" s="14"/>
      <c r="T32" s="14"/>
      <c r="U32" s="14"/>
      <c r="V32" s="14"/>
    </row>
    <row r="33" spans="1:22" x14ac:dyDescent="0.25">
      <c r="A33" s="14"/>
      <c r="B33" s="14"/>
      <c r="C33" s="14"/>
      <c r="D33" s="14"/>
      <c r="E33" s="14"/>
      <c r="F33" s="14"/>
      <c r="G33" s="14"/>
      <c r="H33" s="14"/>
      <c r="I33" s="14"/>
      <c r="J33" s="14"/>
      <c r="K33" s="14"/>
      <c r="L33" s="14"/>
      <c r="M33" s="14"/>
      <c r="N33" s="14"/>
      <c r="O33" s="14"/>
      <c r="P33" s="14"/>
      <c r="Q33" s="14"/>
      <c r="R33" s="14"/>
      <c r="S33" s="14"/>
      <c r="T33" s="14"/>
      <c r="U33" s="14"/>
      <c r="V33" s="14"/>
    </row>
    <row r="34" spans="1:22" x14ac:dyDescent="0.25">
      <c r="A34" s="14"/>
      <c r="B34" s="14"/>
      <c r="C34" s="14"/>
      <c r="D34" s="14"/>
      <c r="E34" s="14"/>
      <c r="F34" s="14"/>
      <c r="G34" s="14"/>
      <c r="H34" s="14"/>
      <c r="I34" s="14"/>
      <c r="J34" s="14"/>
      <c r="K34" s="14"/>
      <c r="L34" s="14"/>
      <c r="M34" s="14"/>
      <c r="N34" s="14"/>
      <c r="O34" s="14"/>
      <c r="P34" s="14"/>
      <c r="Q34" s="14"/>
      <c r="R34" s="14"/>
      <c r="S34" s="14"/>
      <c r="T34" s="14"/>
      <c r="U34" s="14"/>
      <c r="V34" s="14"/>
    </row>
    <row r="35" spans="1:22" x14ac:dyDescent="0.25">
      <c r="A35" s="14"/>
      <c r="B35" s="14"/>
      <c r="C35" s="14"/>
      <c r="D35" s="14"/>
      <c r="E35" s="14"/>
      <c r="F35" s="14"/>
      <c r="G35" s="14"/>
      <c r="H35" s="14"/>
      <c r="I35" s="14"/>
      <c r="J35" s="14"/>
      <c r="K35" s="14"/>
      <c r="L35" s="14"/>
      <c r="M35" s="14"/>
      <c r="N35" s="14"/>
      <c r="O35" s="14"/>
      <c r="P35" s="14"/>
      <c r="Q35" s="14"/>
      <c r="R35" s="14"/>
      <c r="S35" s="14"/>
      <c r="T35" s="14"/>
      <c r="U35" s="14"/>
      <c r="V35" s="14"/>
    </row>
    <row r="36" spans="1:22" x14ac:dyDescent="0.25">
      <c r="A36" s="14"/>
      <c r="B36" s="14"/>
      <c r="C36" s="14"/>
      <c r="D36" s="14"/>
      <c r="E36" s="14"/>
      <c r="F36" s="14"/>
      <c r="G36" s="14"/>
      <c r="H36" s="14"/>
      <c r="I36" s="14"/>
      <c r="J36" s="14"/>
      <c r="K36" s="14"/>
      <c r="L36" s="14"/>
      <c r="M36" s="14"/>
      <c r="N36" s="14"/>
      <c r="O36" s="14"/>
      <c r="P36" s="14"/>
      <c r="Q36" s="14"/>
      <c r="R36" s="14"/>
      <c r="S36" s="14"/>
      <c r="T36" s="14"/>
      <c r="U36" s="14"/>
      <c r="V36" s="14"/>
    </row>
  </sheetData>
  <mergeCells count="5">
    <mergeCell ref="A1:V3"/>
    <mergeCell ref="I4:J4"/>
    <mergeCell ref="I5:J5"/>
    <mergeCell ref="M4:N4"/>
    <mergeCell ref="M5:N5"/>
  </mergeCells>
  <pageMargins left="0.70866141732283472" right="0.70866141732283472" top="0.74803149606299213" bottom="0.74803149606299213" header="0.31496062992125984" footer="0.31496062992125984"/>
  <pageSetup paperSize="5" scale="70"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82DC6F9-185E-4A22-8A2C-96D3F7377D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Retail sales</vt:lpstr>
      <vt:lpstr>Payment method Review</vt:lpstr>
      <vt:lpstr>Total Sales - Category wise</vt:lpstr>
      <vt:lpstr>Overall Discount Comparison</vt:lpstr>
      <vt:lpstr>Region - wise Total sales</vt:lpstr>
      <vt:lpstr>Annual Sales Comparison</vt:lpstr>
      <vt:lpstr>Dash Board</vt:lpstr>
      <vt:lpstr>'Dash 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LAVAMADHAN</dc:creator>
  <cp:lastModifiedBy>Madhan Raj T</cp:lastModifiedBy>
  <cp:lastPrinted>2026-04-03T14:49:22Z</cp:lastPrinted>
  <dcterms:created xsi:type="dcterms:W3CDTF">2026-01-26T17:12:31Z</dcterms:created>
  <dcterms:modified xsi:type="dcterms:W3CDTF">2026-04-05T12:53:17Z</dcterms:modified>
</cp:coreProperties>
</file>